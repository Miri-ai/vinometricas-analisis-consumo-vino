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sivi\Downloads\Proyecto_Dash\"/>
    </mc:Choice>
  </mc:AlternateContent>
  <xr:revisionPtr revIDLastSave="0" documentId="8_{6D28CD47-7347-4240-8B05-2D838D805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_NORMALIZADA  " sheetId="1" r:id="rId1"/>
  </sheets>
  <definedNames>
    <definedName name="_xlnm._FilterDatabase" localSheetId="0" hidden="1">'VENTAS_NORMALIZADA  '!$B$1:$S$1000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S180" i="1" a="1"/>
  <c r="R180" i="1" a="1"/>
  <c r="R180" i="1" s="1"/>
  <c r="Q180" i="1" a="1"/>
  <c r="P180" i="1" a="1"/>
  <c r="S22" i="1" a="1"/>
  <c r="R22" i="1" a="1"/>
  <c r="R22" i="1" s="1"/>
  <c r="Q22" i="1" a="1"/>
  <c r="P22" i="1" a="1"/>
  <c r="S203" i="1" a="1"/>
  <c r="R203" i="1" a="1"/>
  <c r="R203" i="1" s="1"/>
  <c r="Q203" i="1" a="1"/>
  <c r="P203" i="1" a="1"/>
  <c r="S279" i="1" a="1"/>
  <c r="R279" i="1" a="1"/>
  <c r="R279" i="1" s="1"/>
  <c r="Q279" i="1" a="1"/>
  <c r="P279" i="1" a="1"/>
  <c r="S370" i="1" a="1"/>
  <c r="R370" i="1" a="1"/>
  <c r="R370" i="1" s="1"/>
  <c r="Q370" i="1" a="1"/>
  <c r="P370" i="1" a="1"/>
  <c r="S278" i="1" a="1"/>
  <c r="R278" i="1" a="1"/>
  <c r="R278" i="1" s="1"/>
  <c r="Q278" i="1" a="1"/>
  <c r="P278" i="1" a="1"/>
  <c r="S21" i="1" a="1"/>
  <c r="R21" i="1" a="1"/>
  <c r="R21" i="1" s="1"/>
  <c r="Q21" i="1" a="1"/>
  <c r="P21" i="1" a="1"/>
  <c r="S20" i="1" a="1"/>
  <c r="R20" i="1" a="1"/>
  <c r="R20" i="1" s="1"/>
  <c r="Q20" i="1" a="1"/>
  <c r="P20" i="1" a="1"/>
  <c r="S461" i="1" a="1"/>
  <c r="R461" i="1" a="1"/>
  <c r="R461" i="1" s="1"/>
  <c r="Q461" i="1" a="1"/>
  <c r="P461" i="1" a="1"/>
  <c r="S460" i="1" a="1"/>
  <c r="R460" i="1" a="1"/>
  <c r="R460" i="1" s="1"/>
  <c r="Q460" i="1" a="1"/>
  <c r="P460" i="1" a="1"/>
  <c r="S446" i="1" a="1"/>
  <c r="R446" i="1" a="1"/>
  <c r="R446" i="1" s="1"/>
  <c r="Q446" i="1" a="1"/>
  <c r="P446" i="1" a="1"/>
  <c r="S302" i="1" a="1"/>
  <c r="R302" i="1" a="1"/>
  <c r="R302" i="1" s="1"/>
  <c r="Q302" i="1" a="1"/>
  <c r="P302" i="1" a="1"/>
  <c r="S392" i="1" a="1"/>
  <c r="R392" i="1" a="1"/>
  <c r="R392" i="1" s="1"/>
  <c r="Q392" i="1" a="1"/>
  <c r="P392" i="1" a="1"/>
  <c r="S416" i="1" a="1"/>
  <c r="R416" i="1" a="1"/>
  <c r="R416" i="1" s="1"/>
  <c r="Q416" i="1" a="1"/>
  <c r="P416" i="1" a="1"/>
  <c r="S260" i="1" a="1"/>
  <c r="R260" i="1" a="1"/>
  <c r="R260" i="1" s="1"/>
  <c r="Q260" i="1" a="1"/>
  <c r="P260" i="1" a="1"/>
  <c r="S259" i="1" a="1"/>
  <c r="R259" i="1" a="1"/>
  <c r="R259" i="1" s="1"/>
  <c r="Q259" i="1" a="1"/>
  <c r="P259" i="1" a="1"/>
  <c r="S481" i="1" a="1"/>
  <c r="R481" i="1" a="1"/>
  <c r="R481" i="1" s="1"/>
  <c r="Q481" i="1" a="1"/>
  <c r="P481" i="1" a="1"/>
  <c r="S369" i="1" a="1"/>
  <c r="R369" i="1" a="1"/>
  <c r="R369" i="1" s="1"/>
  <c r="Q369" i="1" a="1"/>
  <c r="P369" i="1" a="1"/>
  <c r="S459" i="1" a="1"/>
  <c r="R459" i="1" a="1"/>
  <c r="R459" i="1" s="1"/>
  <c r="Q459" i="1" a="1"/>
  <c r="P459" i="1" a="1"/>
  <c r="S352" i="1" a="1"/>
  <c r="R352" i="1" a="1"/>
  <c r="R352" i="1" s="1"/>
  <c r="Q352" i="1" a="1"/>
  <c r="P352" i="1" a="1"/>
  <c r="S179" i="1" a="1"/>
  <c r="R179" i="1" a="1"/>
  <c r="R179" i="1" s="1"/>
  <c r="Q179" i="1" a="1"/>
  <c r="P179" i="1" a="1"/>
  <c r="S351" i="1" a="1"/>
  <c r="R351" i="1" a="1"/>
  <c r="R351" i="1" s="1"/>
  <c r="Q351" i="1" a="1"/>
  <c r="P351" i="1" a="1"/>
  <c r="S391" i="1" a="1"/>
  <c r="R391" i="1" a="1"/>
  <c r="R391" i="1" s="1"/>
  <c r="Q391" i="1" a="1"/>
  <c r="P391" i="1" a="1"/>
  <c r="S19" i="1" a="1"/>
  <c r="R19" i="1" a="1"/>
  <c r="R19" i="1" s="1"/>
  <c r="Q19" i="1" a="1"/>
  <c r="P19" i="1" a="1"/>
  <c r="S178" i="1" a="1"/>
  <c r="R178" i="1" a="1"/>
  <c r="R178" i="1" s="1"/>
  <c r="Q178" i="1" a="1"/>
  <c r="P178" i="1" a="1"/>
  <c r="S258" i="1" a="1"/>
  <c r="R258" i="1" a="1"/>
  <c r="R258" i="1" s="1"/>
  <c r="Q258" i="1" a="1"/>
  <c r="P258" i="1" a="1"/>
  <c r="S42" i="1" a="1"/>
  <c r="R42" i="1" a="1"/>
  <c r="R42" i="1" s="1"/>
  <c r="Q42" i="1" a="1"/>
  <c r="P42" i="1" a="1"/>
  <c r="S107" i="1" a="1"/>
  <c r="R107" i="1" a="1"/>
  <c r="R107" i="1" s="1"/>
  <c r="Q107" i="1" a="1"/>
  <c r="P107" i="1" a="1"/>
  <c r="S434" i="1" a="1"/>
  <c r="R434" i="1" a="1"/>
  <c r="R434" i="1" s="1"/>
  <c r="Q434" i="1" a="1"/>
  <c r="P434" i="1" a="1"/>
  <c r="S41" i="1" a="1"/>
  <c r="R41" i="1" a="1"/>
  <c r="R41" i="1" s="1"/>
  <c r="Q41" i="1" a="1"/>
  <c r="P41" i="1" a="1"/>
  <c r="S326" i="1" a="1"/>
  <c r="R326" i="1" a="1"/>
  <c r="R326" i="1" s="1"/>
  <c r="Q326" i="1" a="1"/>
  <c r="P326" i="1" a="1"/>
  <c r="S415" i="1" a="1"/>
  <c r="R415" i="1" a="1"/>
  <c r="R415" i="1" s="1"/>
  <c r="Q415" i="1" a="1"/>
  <c r="P415" i="1" a="1"/>
  <c r="S40" i="1" a="1"/>
  <c r="R40" i="1" a="1"/>
  <c r="R40" i="1" s="1"/>
  <c r="Q40" i="1" a="1"/>
  <c r="P40" i="1" a="1"/>
  <c r="S433" i="1" a="1"/>
  <c r="R433" i="1" a="1"/>
  <c r="R433" i="1" s="1"/>
  <c r="Q433" i="1" a="1"/>
  <c r="P433" i="1" a="1"/>
  <c r="S368" i="1" a="1"/>
  <c r="R368" i="1" a="1"/>
  <c r="R368" i="1" s="1"/>
  <c r="Q368" i="1" a="1"/>
  <c r="P368" i="1" a="1"/>
  <c r="S131" i="1" a="1"/>
  <c r="R131" i="1" a="1"/>
  <c r="R131" i="1" s="1"/>
  <c r="Q131" i="1" a="1"/>
  <c r="P131" i="1" a="1"/>
  <c r="S177" i="1" a="1"/>
  <c r="R177" i="1" a="1"/>
  <c r="R177" i="1" s="1"/>
  <c r="Q177" i="1" a="1"/>
  <c r="P177" i="1" a="1"/>
  <c r="S301" i="1" a="1"/>
  <c r="R301" i="1" a="1"/>
  <c r="R301" i="1" s="1"/>
  <c r="Q301" i="1" a="1"/>
  <c r="P301" i="1" a="1"/>
  <c r="S480" i="1" a="1"/>
  <c r="R480" i="1" a="1"/>
  <c r="R480" i="1" s="1"/>
  <c r="Q480" i="1" a="1"/>
  <c r="P480" i="1" a="1"/>
  <c r="S257" i="1" a="1"/>
  <c r="R257" i="1" a="1"/>
  <c r="R257" i="1" s="1"/>
  <c r="Q257" i="1" a="1"/>
  <c r="P257" i="1" a="1"/>
  <c r="S233" i="1" a="1"/>
  <c r="R233" i="1" a="1"/>
  <c r="R233" i="1" s="1"/>
  <c r="Q233" i="1" a="1"/>
  <c r="P233" i="1" a="1"/>
  <c r="S458" i="1" a="1"/>
  <c r="R458" i="1" a="1"/>
  <c r="R458" i="1" s="1"/>
  <c r="Q458" i="1" a="1"/>
  <c r="P458" i="1" a="1"/>
  <c r="S146" i="1" a="1"/>
  <c r="R146" i="1" a="1"/>
  <c r="R146" i="1" s="1"/>
  <c r="Q146" i="1" a="1"/>
  <c r="P146" i="1" a="1"/>
  <c r="S176" i="1" a="1"/>
  <c r="R176" i="1" a="1"/>
  <c r="R176" i="1" s="1"/>
  <c r="Q176" i="1" a="1"/>
  <c r="P176" i="1" a="1"/>
  <c r="S256" i="1" a="1"/>
  <c r="R256" i="1" a="1"/>
  <c r="R256" i="1" s="1"/>
  <c r="Q256" i="1" a="1"/>
  <c r="P256" i="1" a="1"/>
  <c r="S432" i="1" a="1"/>
  <c r="R432" i="1" a="1"/>
  <c r="R432" i="1" s="1"/>
  <c r="Q432" i="1" a="1"/>
  <c r="P432" i="1" a="1"/>
  <c r="S414" i="1" a="1"/>
  <c r="R414" i="1" a="1"/>
  <c r="R414" i="1" s="1"/>
  <c r="Q414" i="1" a="1"/>
  <c r="P414" i="1" a="1"/>
  <c r="S18" i="1" a="1"/>
  <c r="R18" i="1" a="1"/>
  <c r="R18" i="1" s="1"/>
  <c r="Q18" i="1" a="1"/>
  <c r="P18" i="1" a="1"/>
  <c r="S413" i="1" a="1"/>
  <c r="R413" i="1" a="1"/>
  <c r="R413" i="1" s="1"/>
  <c r="Q413" i="1" a="1"/>
  <c r="P413" i="1" a="1"/>
  <c r="S479" i="1" a="1"/>
  <c r="R479" i="1" a="1"/>
  <c r="R479" i="1" s="1"/>
  <c r="Q479" i="1" a="1"/>
  <c r="P479" i="1" a="1"/>
  <c r="S350" i="1" a="1"/>
  <c r="R350" i="1" a="1"/>
  <c r="R350" i="1" s="1"/>
  <c r="Q350" i="1" a="1"/>
  <c r="P350" i="1" a="1"/>
  <c r="S412" i="1" a="1"/>
  <c r="R412" i="1" a="1"/>
  <c r="R412" i="1" s="1"/>
  <c r="Q412" i="1" a="1"/>
  <c r="P412" i="1" a="1"/>
  <c r="S277" i="1" a="1"/>
  <c r="R277" i="1" a="1"/>
  <c r="R277" i="1" s="1"/>
  <c r="Q277" i="1" a="1"/>
  <c r="P277" i="1" a="1"/>
  <c r="S411" i="1" a="1"/>
  <c r="R411" i="1" a="1"/>
  <c r="R411" i="1" s="1"/>
  <c r="Q411" i="1" a="1"/>
  <c r="P411" i="1" a="1"/>
  <c r="S410" i="1" a="1"/>
  <c r="R410" i="1" a="1"/>
  <c r="R410" i="1" s="1"/>
  <c r="Q410" i="1" a="1"/>
  <c r="P410" i="1" a="1"/>
  <c r="S325" i="1" a="1"/>
  <c r="R325" i="1" a="1"/>
  <c r="R325" i="1" s="1"/>
  <c r="Q325" i="1" a="1"/>
  <c r="P325" i="1" a="1"/>
  <c r="S62" i="1" a="1"/>
  <c r="R62" i="1" a="1"/>
  <c r="R62" i="1" s="1"/>
  <c r="Q62" i="1" a="1"/>
  <c r="P62" i="1" a="1"/>
  <c r="S232" i="1" a="1"/>
  <c r="R232" i="1" a="1"/>
  <c r="R232" i="1" s="1"/>
  <c r="Q232" i="1" a="1"/>
  <c r="P232" i="1" a="1"/>
  <c r="S478" i="1" a="1"/>
  <c r="R478" i="1" a="1"/>
  <c r="R478" i="1" s="1"/>
  <c r="Q478" i="1" a="1"/>
  <c r="P478" i="1" a="1"/>
  <c r="S106" i="1" a="1"/>
  <c r="R106" i="1" a="1"/>
  <c r="R106" i="1" s="1"/>
  <c r="Q106" i="1" a="1"/>
  <c r="P106" i="1" a="1"/>
  <c r="S409" i="1" a="1"/>
  <c r="R409" i="1" a="1"/>
  <c r="R409" i="1" s="1"/>
  <c r="Q409" i="1" a="1"/>
  <c r="P409" i="1" a="1"/>
  <c r="S300" i="1" a="1"/>
  <c r="R300" i="1" a="1"/>
  <c r="R300" i="1" s="1"/>
  <c r="Q300" i="1" a="1"/>
  <c r="P300" i="1" a="1"/>
  <c r="S90" i="1" a="1"/>
  <c r="R90" i="1" a="1"/>
  <c r="R90" i="1" s="1"/>
  <c r="Q90" i="1" a="1"/>
  <c r="P90" i="1" a="1"/>
  <c r="S255" i="1" a="1"/>
  <c r="R255" i="1" a="1"/>
  <c r="R255" i="1" s="1"/>
  <c r="Q255" i="1" a="1"/>
  <c r="P255" i="1" a="1"/>
  <c r="S231" i="1" a="1"/>
  <c r="R231" i="1" a="1"/>
  <c r="R231" i="1" s="1"/>
  <c r="Q231" i="1" a="1"/>
  <c r="P231" i="1" a="1"/>
  <c r="S17" i="1" a="1"/>
  <c r="R17" i="1" a="1"/>
  <c r="R17" i="1" s="1"/>
  <c r="Q17" i="1" a="1"/>
  <c r="P17" i="1" a="1"/>
  <c r="S349" i="1" a="1"/>
  <c r="R349" i="1" a="1"/>
  <c r="R349" i="1" s="1"/>
  <c r="Q349" i="1" a="1"/>
  <c r="P349" i="1" a="1"/>
  <c r="S408" i="1" a="1"/>
  <c r="R408" i="1" a="1"/>
  <c r="R408" i="1" s="1"/>
  <c r="Q408" i="1" a="1"/>
  <c r="P408" i="1" a="1"/>
  <c r="S390" i="1" a="1"/>
  <c r="R390" i="1" a="1"/>
  <c r="R390" i="1" s="1"/>
  <c r="Q390" i="1" a="1"/>
  <c r="P390" i="1" a="1"/>
  <c r="S89" i="1" a="1"/>
  <c r="R89" i="1" a="1"/>
  <c r="R89" i="1" s="1"/>
  <c r="Q89" i="1" a="1"/>
  <c r="P89" i="1" a="1"/>
  <c r="S457" i="1" a="1"/>
  <c r="R457" i="1" a="1"/>
  <c r="R457" i="1" s="1"/>
  <c r="Q457" i="1" a="1"/>
  <c r="P457" i="1" a="1"/>
  <c r="S348" i="1" a="1"/>
  <c r="R348" i="1" a="1"/>
  <c r="R348" i="1" s="1"/>
  <c r="Q348" i="1" a="1"/>
  <c r="P348" i="1" a="1"/>
  <c r="S367" i="1" a="1"/>
  <c r="R367" i="1" a="1"/>
  <c r="R367" i="1" s="1"/>
  <c r="Q367" i="1" a="1"/>
  <c r="P367" i="1" a="1"/>
  <c r="S202" i="1" a="1"/>
  <c r="R202" i="1" a="1"/>
  <c r="R202" i="1" s="1"/>
  <c r="Q202" i="1" a="1"/>
  <c r="P202" i="1" a="1"/>
  <c r="S501" i="1" a="1"/>
  <c r="R501" i="1" a="1"/>
  <c r="R501" i="1" s="1"/>
  <c r="Q501" i="1" a="1"/>
  <c r="P501" i="1" a="1"/>
  <c r="S201" i="1" a="1"/>
  <c r="R201" i="1" a="1"/>
  <c r="R201" i="1" s="1"/>
  <c r="Q201" i="1" a="1"/>
  <c r="P201" i="1" a="1"/>
  <c r="S105" i="1" a="1"/>
  <c r="R105" i="1" a="1"/>
  <c r="R105" i="1" s="1"/>
  <c r="Q105" i="1" a="1"/>
  <c r="P105" i="1" a="1"/>
  <c r="S77" i="1" a="1"/>
  <c r="R77" i="1" a="1"/>
  <c r="R77" i="1" s="1"/>
  <c r="Q77" i="1" a="1"/>
  <c r="P77" i="1" a="1"/>
  <c r="S104" i="1" a="1"/>
  <c r="R104" i="1" a="1"/>
  <c r="R104" i="1" s="1"/>
  <c r="Q104" i="1" a="1"/>
  <c r="P104" i="1" a="1"/>
  <c r="S103" i="1" a="1"/>
  <c r="R103" i="1" a="1"/>
  <c r="R103" i="1" s="1"/>
  <c r="Q103" i="1" a="1"/>
  <c r="P103" i="1" a="1"/>
  <c r="S175" i="1" a="1"/>
  <c r="R175" i="1" a="1"/>
  <c r="R175" i="1" s="1"/>
  <c r="Q175" i="1" a="1"/>
  <c r="P175" i="1" a="1"/>
  <c r="S145" i="1" a="1"/>
  <c r="R145" i="1" a="1"/>
  <c r="R145" i="1" s="1"/>
  <c r="Q145" i="1" a="1"/>
  <c r="P145" i="1" a="1"/>
  <c r="S174" i="1" a="1"/>
  <c r="R174" i="1" a="1"/>
  <c r="R174" i="1" s="1"/>
  <c r="Q174" i="1" a="1"/>
  <c r="P174" i="1" a="1"/>
  <c r="S173" i="1" a="1"/>
  <c r="R173" i="1" a="1"/>
  <c r="R173" i="1" s="1"/>
  <c r="Q173" i="1" a="1"/>
  <c r="P173" i="1" a="1"/>
  <c r="S254" i="1" a="1"/>
  <c r="R254" i="1" a="1"/>
  <c r="R254" i="1" s="1"/>
  <c r="Q254" i="1" a="1"/>
  <c r="P254" i="1" a="1"/>
  <c r="S366" i="1" a="1"/>
  <c r="R366" i="1" a="1"/>
  <c r="R366" i="1" s="1"/>
  <c r="Q366" i="1" a="1"/>
  <c r="P366" i="1" a="1"/>
  <c r="S389" i="1" a="1"/>
  <c r="R389" i="1" a="1"/>
  <c r="R389" i="1" s="1"/>
  <c r="Q389" i="1" a="1"/>
  <c r="P389" i="1" a="1"/>
  <c r="S253" i="1" a="1"/>
  <c r="R253" i="1" a="1"/>
  <c r="R253" i="1" s="1"/>
  <c r="Q253" i="1" a="1"/>
  <c r="P253" i="1" a="1"/>
  <c r="S347" i="1" a="1"/>
  <c r="R347" i="1" a="1"/>
  <c r="R347" i="1" s="1"/>
  <c r="Q347" i="1" a="1"/>
  <c r="P347" i="1" a="1"/>
  <c r="S324" i="1" a="1"/>
  <c r="R324" i="1" a="1"/>
  <c r="R324" i="1" s="1"/>
  <c r="Q324" i="1" a="1"/>
  <c r="P324" i="1" a="1"/>
  <c r="S477" i="1" a="1"/>
  <c r="R477" i="1" a="1"/>
  <c r="R477" i="1" s="1"/>
  <c r="Q477" i="1" a="1"/>
  <c r="P477" i="1" a="1"/>
  <c r="S299" i="1" a="1"/>
  <c r="R299" i="1" a="1"/>
  <c r="R299" i="1" s="1"/>
  <c r="Q299" i="1" a="1"/>
  <c r="P299" i="1" a="1"/>
  <c r="S252" i="1" a="1"/>
  <c r="R252" i="1" a="1"/>
  <c r="R252" i="1" s="1"/>
  <c r="Q252" i="1" a="1"/>
  <c r="P252" i="1" a="1"/>
  <c r="S88" i="1" a="1"/>
  <c r="R88" i="1" a="1"/>
  <c r="R88" i="1" s="1"/>
  <c r="Q88" i="1" a="1"/>
  <c r="P88" i="1" a="1"/>
  <c r="S298" i="1" a="1"/>
  <c r="R298" i="1" a="1"/>
  <c r="R298" i="1" s="1"/>
  <c r="Q298" i="1" a="1"/>
  <c r="P298" i="1" a="1"/>
  <c r="S230" i="1" a="1"/>
  <c r="R230" i="1" a="1"/>
  <c r="R230" i="1" s="1"/>
  <c r="Q230" i="1" a="1"/>
  <c r="P230" i="1" a="1"/>
  <c r="S229" i="1" a="1"/>
  <c r="R229" i="1" a="1"/>
  <c r="R229" i="1" s="1"/>
  <c r="Q229" i="1" a="1"/>
  <c r="P229" i="1" a="1"/>
  <c r="S407" i="1" a="1"/>
  <c r="R407" i="1" a="1"/>
  <c r="R407" i="1" s="1"/>
  <c r="Q407" i="1" a="1"/>
  <c r="P407" i="1" a="1"/>
  <c r="S276" i="1" a="1"/>
  <c r="R276" i="1" a="1"/>
  <c r="R276" i="1" s="1"/>
  <c r="Q276" i="1" a="1"/>
  <c r="P276" i="1" a="1"/>
  <c r="S346" i="1" a="1"/>
  <c r="R346" i="1" a="1"/>
  <c r="R346" i="1" s="1"/>
  <c r="Q346" i="1" a="1"/>
  <c r="P346" i="1" a="1"/>
  <c r="S172" i="1" a="1"/>
  <c r="R172" i="1" a="1"/>
  <c r="R172" i="1" s="1"/>
  <c r="Q172" i="1" a="1"/>
  <c r="P172" i="1" a="1"/>
  <c r="S445" i="1" a="1"/>
  <c r="R445" i="1" a="1"/>
  <c r="R445" i="1" s="1"/>
  <c r="Q445" i="1" a="1"/>
  <c r="P445" i="1" a="1"/>
  <c r="S39" i="1" a="1"/>
  <c r="R39" i="1" a="1"/>
  <c r="R39" i="1" s="1"/>
  <c r="Q39" i="1" a="1"/>
  <c r="P39" i="1" a="1"/>
  <c r="S388" i="1" a="1"/>
  <c r="R388" i="1" a="1"/>
  <c r="R388" i="1" s="1"/>
  <c r="Q388" i="1" a="1"/>
  <c r="P388" i="1" a="1"/>
  <c r="S228" i="1" a="1"/>
  <c r="R228" i="1" a="1"/>
  <c r="R228" i="1" s="1"/>
  <c r="Q228" i="1" a="1"/>
  <c r="P228" i="1" a="1"/>
  <c r="S345" i="1" a="1"/>
  <c r="R345" i="1" a="1"/>
  <c r="R345" i="1" s="1"/>
  <c r="Q345" i="1" a="1"/>
  <c r="P345" i="1" a="1"/>
  <c r="S61" i="1" a="1"/>
  <c r="R61" i="1" a="1"/>
  <c r="R61" i="1" s="1"/>
  <c r="Q61" i="1" a="1"/>
  <c r="P61" i="1" a="1"/>
  <c r="S38" i="1" a="1"/>
  <c r="R38" i="1" a="1"/>
  <c r="R38" i="1" s="1"/>
  <c r="Q38" i="1" a="1"/>
  <c r="P38" i="1" a="1"/>
  <c r="S87" i="1" a="1"/>
  <c r="R87" i="1" a="1"/>
  <c r="R87" i="1" s="1"/>
  <c r="Q87" i="1" a="1"/>
  <c r="P87" i="1" a="1"/>
  <c r="S76" i="1" a="1"/>
  <c r="R76" i="1" a="1"/>
  <c r="R76" i="1" s="1"/>
  <c r="Q76" i="1" a="1"/>
  <c r="P76" i="1" a="1"/>
  <c r="S444" i="1" a="1"/>
  <c r="R444" i="1" a="1"/>
  <c r="R444" i="1" s="1"/>
  <c r="Q444" i="1" a="1"/>
  <c r="P444" i="1" a="1"/>
  <c r="S75" i="1" a="1"/>
  <c r="R75" i="1" a="1"/>
  <c r="R75" i="1" s="1"/>
  <c r="Q75" i="1" a="1"/>
  <c r="P75" i="1" a="1"/>
  <c r="S406" i="1" a="1"/>
  <c r="R406" i="1" a="1"/>
  <c r="R406" i="1" s="1"/>
  <c r="Q406" i="1" a="1"/>
  <c r="P406" i="1" a="1"/>
  <c r="S171" i="1" a="1"/>
  <c r="R171" i="1" a="1"/>
  <c r="R171" i="1" s="1"/>
  <c r="Q171" i="1" a="1"/>
  <c r="P171" i="1" a="1"/>
  <c r="S443" i="1" a="1"/>
  <c r="R443" i="1" a="1"/>
  <c r="R443" i="1" s="1"/>
  <c r="Q443" i="1" a="1"/>
  <c r="P443" i="1" a="1"/>
  <c r="S323" i="1" a="1"/>
  <c r="R323" i="1" a="1"/>
  <c r="R323" i="1" s="1"/>
  <c r="Q323" i="1" a="1"/>
  <c r="P323" i="1" a="1"/>
  <c r="S86" i="1" a="1"/>
  <c r="R86" i="1" a="1"/>
  <c r="R86" i="1" s="1"/>
  <c r="Q86" i="1" a="1"/>
  <c r="P86" i="1" a="1"/>
  <c r="S405" i="1" a="1"/>
  <c r="R405" i="1" a="1"/>
  <c r="R405" i="1" s="1"/>
  <c r="Q405" i="1" a="1"/>
  <c r="P405" i="1" a="1"/>
  <c r="S74" i="1" a="1"/>
  <c r="R74" i="1" a="1"/>
  <c r="R74" i="1" s="1"/>
  <c r="Q74" i="1" a="1"/>
  <c r="P74" i="1" a="1"/>
  <c r="S227" i="1" a="1"/>
  <c r="R227" i="1" a="1"/>
  <c r="R227" i="1" s="1"/>
  <c r="Q227" i="1" a="1"/>
  <c r="P227" i="1" a="1"/>
  <c r="S16" i="1" a="1"/>
  <c r="R16" i="1" a="1"/>
  <c r="R16" i="1" s="1"/>
  <c r="Q16" i="1" a="1"/>
  <c r="P16" i="1" a="1"/>
  <c r="S226" i="1" a="1"/>
  <c r="R226" i="1" a="1"/>
  <c r="R226" i="1" s="1"/>
  <c r="Q226" i="1" a="1"/>
  <c r="P226" i="1" a="1"/>
  <c r="S251" i="1" a="1"/>
  <c r="R251" i="1" a="1"/>
  <c r="R251" i="1" s="1"/>
  <c r="Q251" i="1" a="1"/>
  <c r="P251" i="1" a="1"/>
  <c r="S250" i="1" a="1"/>
  <c r="R250" i="1" a="1"/>
  <c r="R250" i="1" s="1"/>
  <c r="Q250" i="1" a="1"/>
  <c r="P250" i="1" a="1"/>
  <c r="S344" i="1" a="1"/>
  <c r="R344" i="1" a="1"/>
  <c r="R344" i="1" s="1"/>
  <c r="Q344" i="1" a="1"/>
  <c r="P344" i="1" a="1"/>
  <c r="S387" i="1" a="1"/>
  <c r="R387" i="1" a="1"/>
  <c r="R387" i="1" s="1"/>
  <c r="Q387" i="1" a="1"/>
  <c r="P387" i="1" a="1"/>
  <c r="S431" i="1" a="1"/>
  <c r="R431" i="1" a="1"/>
  <c r="R431" i="1" s="1"/>
  <c r="Q431" i="1" a="1"/>
  <c r="P431" i="1" a="1"/>
  <c r="S343" i="1" a="1"/>
  <c r="R343" i="1" a="1"/>
  <c r="R343" i="1" s="1"/>
  <c r="Q343" i="1" a="1"/>
  <c r="P343" i="1" a="1"/>
  <c r="S144" i="1" a="1"/>
  <c r="R144" i="1" a="1"/>
  <c r="R144" i="1" s="1"/>
  <c r="Q144" i="1" a="1"/>
  <c r="P144" i="1" a="1"/>
  <c r="S73" i="1" a="1"/>
  <c r="R73" i="1" a="1"/>
  <c r="R73" i="1" s="1"/>
  <c r="Q73" i="1" a="1"/>
  <c r="P73" i="1" a="1"/>
  <c r="S225" i="1" a="1"/>
  <c r="R225" i="1" a="1"/>
  <c r="R225" i="1" s="1"/>
  <c r="Q225" i="1" a="1"/>
  <c r="P225" i="1" a="1"/>
  <c r="S102" i="1" a="1"/>
  <c r="R102" i="1" a="1"/>
  <c r="R102" i="1" s="1"/>
  <c r="Q102" i="1" a="1"/>
  <c r="P102" i="1" a="1"/>
  <c r="S322" i="1" a="1"/>
  <c r="R322" i="1" a="1"/>
  <c r="R322" i="1" s="1"/>
  <c r="Q322" i="1" a="1"/>
  <c r="P322" i="1" a="1"/>
  <c r="S342" i="1" a="1"/>
  <c r="R342" i="1" a="1"/>
  <c r="R342" i="1" s="1"/>
  <c r="Q342" i="1" a="1"/>
  <c r="P342" i="1" a="1"/>
  <c r="S72" i="1" a="1"/>
  <c r="R72" i="1" a="1"/>
  <c r="R72" i="1" s="1"/>
  <c r="Q72" i="1" a="1"/>
  <c r="P72" i="1" a="1"/>
  <c r="S249" i="1" a="1"/>
  <c r="R249" i="1" a="1"/>
  <c r="R249" i="1" s="1"/>
  <c r="Q249" i="1" a="1"/>
  <c r="P249" i="1" a="1"/>
  <c r="S248" i="1" a="1"/>
  <c r="R248" i="1" a="1"/>
  <c r="R248" i="1" s="1"/>
  <c r="Q248" i="1" a="1"/>
  <c r="P248" i="1" a="1"/>
  <c r="S476" i="1" a="1"/>
  <c r="R476" i="1" a="1"/>
  <c r="R476" i="1" s="1"/>
  <c r="Q476" i="1" a="1"/>
  <c r="P476" i="1" a="1"/>
  <c r="S247" i="1" a="1"/>
  <c r="R247" i="1" a="1"/>
  <c r="R247" i="1" s="1"/>
  <c r="Q247" i="1" a="1"/>
  <c r="P247" i="1" a="1"/>
  <c r="S456" i="1" a="1"/>
  <c r="R456" i="1" a="1"/>
  <c r="R456" i="1" s="1"/>
  <c r="Q456" i="1" a="1"/>
  <c r="P456" i="1" a="1"/>
  <c r="S130" i="1" a="1"/>
  <c r="R130" i="1" a="1"/>
  <c r="R130" i="1" s="1"/>
  <c r="Q130" i="1" a="1"/>
  <c r="P130" i="1" a="1"/>
  <c r="S15" i="1" a="1"/>
  <c r="R15" i="1" a="1"/>
  <c r="R15" i="1" s="1"/>
  <c r="Q15" i="1" a="1"/>
  <c r="P15" i="1" a="1"/>
  <c r="S365" i="1" a="1"/>
  <c r="R365" i="1" a="1"/>
  <c r="R365" i="1" s="1"/>
  <c r="Q365" i="1" a="1"/>
  <c r="P365" i="1" a="1"/>
  <c r="S500" i="1" a="1"/>
  <c r="R500" i="1" a="1"/>
  <c r="R500" i="1" s="1"/>
  <c r="Q500" i="1" a="1"/>
  <c r="P500" i="1" a="1"/>
  <c r="S14" i="1" a="1"/>
  <c r="R14" i="1" a="1"/>
  <c r="R14" i="1" s="1"/>
  <c r="Q14" i="1" a="1"/>
  <c r="P14" i="1" a="1"/>
  <c r="S321" i="1" a="1"/>
  <c r="R321" i="1" a="1"/>
  <c r="R321" i="1" s="1"/>
  <c r="Q321" i="1" a="1"/>
  <c r="P321" i="1" a="1"/>
  <c r="S60" i="1" a="1"/>
  <c r="R60" i="1" a="1"/>
  <c r="R60" i="1" s="1"/>
  <c r="Q60" i="1" a="1"/>
  <c r="P60" i="1" a="1"/>
  <c r="S143" i="1" a="1"/>
  <c r="R143" i="1" a="1"/>
  <c r="R143" i="1" s="1"/>
  <c r="Q143" i="1" a="1"/>
  <c r="P143" i="1" a="1"/>
  <c r="S386" i="1" a="1"/>
  <c r="R386" i="1" a="1"/>
  <c r="R386" i="1" s="1"/>
  <c r="Q386" i="1" a="1"/>
  <c r="P386" i="1" a="1"/>
  <c r="S170" i="1" a="1"/>
  <c r="R170" i="1" a="1"/>
  <c r="R170" i="1" s="1"/>
  <c r="Q170" i="1" a="1"/>
  <c r="P170" i="1" a="1"/>
  <c r="S142" i="1" a="1"/>
  <c r="R142" i="1" a="1"/>
  <c r="R142" i="1" s="1"/>
  <c r="Q142" i="1" a="1"/>
  <c r="P142" i="1" a="1"/>
  <c r="S275" i="1" a="1"/>
  <c r="R275" i="1" a="1"/>
  <c r="R275" i="1" s="1"/>
  <c r="Q275" i="1" a="1"/>
  <c r="P275" i="1" a="1"/>
  <c r="S200" i="1" a="1"/>
  <c r="R200" i="1" a="1"/>
  <c r="R200" i="1" s="1"/>
  <c r="Q200" i="1" a="1"/>
  <c r="P200" i="1" a="1"/>
  <c r="S37" i="1" a="1"/>
  <c r="R37" i="1" a="1"/>
  <c r="R37" i="1" s="1"/>
  <c r="Q37" i="1" a="1"/>
  <c r="P37" i="1" a="1"/>
  <c r="S71" i="1" a="1"/>
  <c r="R71" i="1" a="1"/>
  <c r="R71" i="1" s="1"/>
  <c r="Q71" i="1" a="1"/>
  <c r="P71" i="1" a="1"/>
  <c r="S59" i="1" a="1"/>
  <c r="R59" i="1" a="1"/>
  <c r="R59" i="1" s="1"/>
  <c r="Q59" i="1" a="1"/>
  <c r="P59" i="1" a="1"/>
  <c r="S199" i="1" a="1"/>
  <c r="R199" i="1" a="1"/>
  <c r="R199" i="1" s="1"/>
  <c r="Q199" i="1" a="1"/>
  <c r="P199" i="1" a="1"/>
  <c r="S404" i="1" a="1"/>
  <c r="R404" i="1" a="1"/>
  <c r="R404" i="1" s="1"/>
  <c r="Q404" i="1" a="1"/>
  <c r="P404" i="1" a="1"/>
  <c r="S403" i="1" a="1"/>
  <c r="R403" i="1" a="1"/>
  <c r="R403" i="1" s="1"/>
  <c r="Q403" i="1" a="1"/>
  <c r="P403" i="1" a="1"/>
  <c r="S36" i="1" a="1"/>
  <c r="R36" i="1" a="1"/>
  <c r="R36" i="1" s="1"/>
  <c r="Q36" i="1" a="1"/>
  <c r="P36" i="1" a="1"/>
  <c r="S141" i="1" a="1"/>
  <c r="R141" i="1" a="1"/>
  <c r="R141" i="1" s="1"/>
  <c r="Q141" i="1" a="1"/>
  <c r="P141" i="1" a="1"/>
  <c r="S274" i="1" a="1"/>
  <c r="R274" i="1" a="1"/>
  <c r="R274" i="1" s="1"/>
  <c r="Q274" i="1" a="1"/>
  <c r="P274" i="1" a="1"/>
  <c r="S385" i="1" a="1"/>
  <c r="R385" i="1" a="1"/>
  <c r="R385" i="1" s="1"/>
  <c r="Q385" i="1" a="1"/>
  <c r="P385" i="1" a="1"/>
  <c r="S341" i="1" a="1"/>
  <c r="R341" i="1" a="1"/>
  <c r="R341" i="1" s="1"/>
  <c r="Q341" i="1" a="1"/>
  <c r="P341" i="1" a="1"/>
  <c r="S340" i="1" a="1"/>
  <c r="R340" i="1" a="1"/>
  <c r="R340" i="1" s="1"/>
  <c r="Q340" i="1" a="1"/>
  <c r="P340" i="1" a="1"/>
  <c r="S129" i="1" a="1"/>
  <c r="R129" i="1" a="1"/>
  <c r="R129" i="1" s="1"/>
  <c r="Q129" i="1" a="1"/>
  <c r="P129" i="1" a="1"/>
  <c r="S224" i="1" a="1"/>
  <c r="R224" i="1" a="1"/>
  <c r="R224" i="1" s="1"/>
  <c r="Q224" i="1" a="1"/>
  <c r="P224" i="1" a="1"/>
  <c r="S140" i="1" a="1"/>
  <c r="R140" i="1" a="1"/>
  <c r="R140" i="1" s="1"/>
  <c r="Q140" i="1" a="1"/>
  <c r="P140" i="1" a="1"/>
  <c r="S402" i="1" a="1"/>
  <c r="R402" i="1" a="1"/>
  <c r="R402" i="1" s="1"/>
  <c r="Q402" i="1" a="1"/>
  <c r="P402" i="1" a="1"/>
  <c r="S475" i="1" a="1"/>
  <c r="R475" i="1" a="1"/>
  <c r="R475" i="1" s="1"/>
  <c r="Q475" i="1" a="1"/>
  <c r="P475" i="1" a="1"/>
  <c r="S320" i="1" a="1"/>
  <c r="R320" i="1" a="1"/>
  <c r="R320" i="1" s="1"/>
  <c r="Q320" i="1" a="1"/>
  <c r="P320" i="1" a="1"/>
  <c r="S198" i="1" a="1"/>
  <c r="R198" i="1" a="1"/>
  <c r="R198" i="1" s="1"/>
  <c r="Q198" i="1" a="1"/>
  <c r="P198" i="1" a="1"/>
  <c r="S85" i="1" a="1"/>
  <c r="R85" i="1" a="1"/>
  <c r="R85" i="1" s="1"/>
  <c r="Q85" i="1" a="1"/>
  <c r="P85" i="1" a="1"/>
  <c r="S58" i="1" a="1"/>
  <c r="R58" i="1" a="1"/>
  <c r="R58" i="1" s="1"/>
  <c r="Q58" i="1" a="1"/>
  <c r="P58" i="1" a="1"/>
  <c r="S70" i="1" a="1"/>
  <c r="R70" i="1" a="1"/>
  <c r="R70" i="1" s="1"/>
  <c r="Q70" i="1" a="1"/>
  <c r="P70" i="1" a="1"/>
  <c r="S35" i="1" a="1"/>
  <c r="R35" i="1" a="1"/>
  <c r="R35" i="1" s="1"/>
  <c r="Q35" i="1" a="1"/>
  <c r="P35" i="1" a="1"/>
  <c r="S84" i="1" a="1"/>
  <c r="R84" i="1" a="1"/>
  <c r="R84" i="1" s="1"/>
  <c r="Q84" i="1" a="1"/>
  <c r="P84" i="1" a="1"/>
  <c r="S69" i="1" a="1"/>
  <c r="R69" i="1" a="1"/>
  <c r="R69" i="1" s="1"/>
  <c r="Q69" i="1" a="1"/>
  <c r="P69" i="1" a="1"/>
  <c r="S223" i="1" a="1"/>
  <c r="R223" i="1" a="1"/>
  <c r="R223" i="1" s="1"/>
  <c r="Q223" i="1" a="1"/>
  <c r="P223" i="1" a="1"/>
  <c r="S442" i="1" a="1"/>
  <c r="R442" i="1" a="1"/>
  <c r="R442" i="1" s="1"/>
  <c r="Q442" i="1" a="1"/>
  <c r="P442" i="1" a="1"/>
  <c r="S455" i="1" a="1"/>
  <c r="R455" i="1" a="1"/>
  <c r="R455" i="1" s="1"/>
  <c r="Q455" i="1" a="1"/>
  <c r="P455" i="1" a="1"/>
  <c r="S319" i="1" a="1"/>
  <c r="R319" i="1" a="1"/>
  <c r="R319" i="1" s="1"/>
  <c r="Q319" i="1" a="1"/>
  <c r="P319" i="1" a="1"/>
  <c r="S68" i="1" a="1"/>
  <c r="R68" i="1" a="1"/>
  <c r="R68" i="1" s="1"/>
  <c r="Q68" i="1" a="1"/>
  <c r="P68" i="1" a="1"/>
  <c r="S273" i="1" a="1"/>
  <c r="R273" i="1" a="1"/>
  <c r="R273" i="1" s="1"/>
  <c r="Q273" i="1" a="1"/>
  <c r="P273" i="1" a="1"/>
  <c r="S384" i="1" a="1"/>
  <c r="R384" i="1" a="1"/>
  <c r="R384" i="1" s="1"/>
  <c r="Q384" i="1" a="1"/>
  <c r="P384" i="1" a="1"/>
  <c r="S34" i="1" a="1"/>
  <c r="R34" i="1" a="1"/>
  <c r="R34" i="1" s="1"/>
  <c r="Q34" i="1" a="1"/>
  <c r="P34" i="1" a="1"/>
  <c r="S383" i="1" a="1"/>
  <c r="R383" i="1" a="1"/>
  <c r="R383" i="1" s="1"/>
  <c r="Q383" i="1" a="1"/>
  <c r="P383" i="1" a="1"/>
  <c r="S441" i="1" a="1"/>
  <c r="R441" i="1" a="1"/>
  <c r="R441" i="1" s="1"/>
  <c r="Q441" i="1" a="1"/>
  <c r="P441" i="1" a="1"/>
  <c r="S222" i="1" a="1"/>
  <c r="R222" i="1" a="1"/>
  <c r="R222" i="1" s="1"/>
  <c r="Q222" i="1" a="1"/>
  <c r="P222" i="1" a="1"/>
  <c r="S246" i="1" a="1"/>
  <c r="R246" i="1" a="1"/>
  <c r="R246" i="1" s="1"/>
  <c r="Q246" i="1" a="1"/>
  <c r="P246" i="1" a="1"/>
  <c r="S364" i="1" a="1"/>
  <c r="R364" i="1" a="1"/>
  <c r="R364" i="1" s="1"/>
  <c r="Q364" i="1" a="1"/>
  <c r="P364" i="1" a="1"/>
  <c r="S83" i="1" a="1"/>
  <c r="R83" i="1" a="1"/>
  <c r="R83" i="1" s="1"/>
  <c r="Q83" i="1" a="1"/>
  <c r="P83" i="1" a="1"/>
  <c r="S169" i="1" a="1"/>
  <c r="R169" i="1" a="1"/>
  <c r="R169" i="1" s="1"/>
  <c r="Q169" i="1" a="1"/>
  <c r="P169" i="1" a="1"/>
  <c r="S245" i="1" a="1"/>
  <c r="R245" i="1" a="1"/>
  <c r="R245" i="1" s="1"/>
  <c r="Q245" i="1" a="1"/>
  <c r="P245" i="1" a="1"/>
  <c r="S382" i="1" a="1"/>
  <c r="R382" i="1" a="1"/>
  <c r="R382" i="1" s="1"/>
  <c r="Q382" i="1" a="1"/>
  <c r="P382" i="1" a="1"/>
  <c r="S13" i="1" a="1"/>
  <c r="R13" i="1" a="1"/>
  <c r="R13" i="1" s="1"/>
  <c r="Q13" i="1" a="1"/>
  <c r="P13" i="1" a="1"/>
  <c r="S401" i="1" a="1"/>
  <c r="R401" i="1" a="1"/>
  <c r="R401" i="1" s="1"/>
  <c r="Q401" i="1" a="1"/>
  <c r="P401" i="1" a="1"/>
  <c r="S168" i="1" a="1"/>
  <c r="R168" i="1" a="1"/>
  <c r="R168" i="1" s="1"/>
  <c r="Q168" i="1" a="1"/>
  <c r="P168" i="1" a="1"/>
  <c r="S57" i="1" a="1"/>
  <c r="R57" i="1" a="1"/>
  <c r="R57" i="1" s="1"/>
  <c r="Q57" i="1" a="1"/>
  <c r="P57" i="1" a="1"/>
  <c r="S128" i="1" a="1"/>
  <c r="R128" i="1" a="1"/>
  <c r="R128" i="1" s="1"/>
  <c r="Q128" i="1" a="1"/>
  <c r="P128" i="1" a="1"/>
  <c r="S318" i="1" a="1"/>
  <c r="R318" i="1" a="1"/>
  <c r="R318" i="1" s="1"/>
  <c r="Q318" i="1" a="1"/>
  <c r="P318" i="1" a="1"/>
  <c r="S139" i="1" a="1"/>
  <c r="R139" i="1" a="1"/>
  <c r="R139" i="1" s="1"/>
  <c r="Q139" i="1" a="1"/>
  <c r="P139" i="1" a="1"/>
  <c r="S221" i="1" a="1"/>
  <c r="R221" i="1" a="1"/>
  <c r="R221" i="1" s="1"/>
  <c r="Q221" i="1" a="1"/>
  <c r="P221" i="1" a="1"/>
  <c r="S197" i="1" a="1"/>
  <c r="R197" i="1" a="1"/>
  <c r="R197" i="1" s="1"/>
  <c r="Q197" i="1" a="1"/>
  <c r="P197" i="1" a="1"/>
  <c r="S220" i="1" a="1"/>
  <c r="R220" i="1" a="1"/>
  <c r="R220" i="1" s="1"/>
  <c r="Q220" i="1" a="1"/>
  <c r="P220" i="1" a="1"/>
  <c r="S167" i="1" a="1"/>
  <c r="R167" i="1" a="1"/>
  <c r="R167" i="1" s="1"/>
  <c r="Q167" i="1" a="1"/>
  <c r="P167" i="1" a="1"/>
  <c r="S317" i="1" a="1"/>
  <c r="R317" i="1" a="1"/>
  <c r="R317" i="1" s="1"/>
  <c r="Q317" i="1" a="1"/>
  <c r="P317" i="1" a="1"/>
  <c r="S430" i="1" a="1"/>
  <c r="R430" i="1" a="1"/>
  <c r="R430" i="1" s="1"/>
  <c r="Q430" i="1" a="1"/>
  <c r="P430" i="1" a="1"/>
  <c r="S138" i="1" a="1"/>
  <c r="R138" i="1" a="1"/>
  <c r="R138" i="1" s="1"/>
  <c r="Q138" i="1" a="1"/>
  <c r="P138" i="1" a="1"/>
  <c r="S56" i="1" a="1"/>
  <c r="R56" i="1" a="1"/>
  <c r="R56" i="1" s="1"/>
  <c r="Q56" i="1" a="1"/>
  <c r="P56" i="1" a="1"/>
  <c r="S219" i="1" a="1"/>
  <c r="R219" i="1" a="1"/>
  <c r="R219" i="1" s="1"/>
  <c r="Q219" i="1" a="1"/>
  <c r="P219" i="1" a="1"/>
  <c r="S316" i="1" a="1"/>
  <c r="R316" i="1" a="1"/>
  <c r="R316" i="1" s="1"/>
  <c r="Q316" i="1" a="1"/>
  <c r="P316" i="1" a="1"/>
  <c r="S297" i="1" a="1"/>
  <c r="R297" i="1" a="1"/>
  <c r="R297" i="1" s="1"/>
  <c r="Q297" i="1" a="1"/>
  <c r="P297" i="1" a="1"/>
  <c r="S196" i="1" a="1"/>
  <c r="R196" i="1" a="1"/>
  <c r="R196" i="1" s="1"/>
  <c r="Q196" i="1" a="1"/>
  <c r="P196" i="1" a="1"/>
  <c r="S101" i="1" a="1"/>
  <c r="R101" i="1" a="1"/>
  <c r="R101" i="1" s="1"/>
  <c r="Q101" i="1" a="1"/>
  <c r="P101" i="1" a="1"/>
  <c r="S33" i="1" a="1"/>
  <c r="R33" i="1" a="1"/>
  <c r="R33" i="1" s="1"/>
  <c r="Q33" i="1" a="1"/>
  <c r="P33" i="1" a="1"/>
  <c r="S454" i="1" a="1"/>
  <c r="R454" i="1" a="1"/>
  <c r="R454" i="1" s="1"/>
  <c r="Q454" i="1" a="1"/>
  <c r="P454" i="1" a="1"/>
  <c r="S127" i="1" a="1"/>
  <c r="R127" i="1" a="1"/>
  <c r="R127" i="1" s="1"/>
  <c r="Q127" i="1" a="1"/>
  <c r="P127" i="1" a="1"/>
  <c r="S166" i="1" a="1"/>
  <c r="R166" i="1" a="1"/>
  <c r="R166" i="1" s="1"/>
  <c r="Q166" i="1" a="1"/>
  <c r="P166" i="1" a="1"/>
  <c r="S165" i="1" a="1"/>
  <c r="R165" i="1" a="1"/>
  <c r="R165" i="1" s="1"/>
  <c r="Q165" i="1" a="1"/>
  <c r="P165" i="1" a="1"/>
  <c r="S499" i="1" a="1"/>
  <c r="R499" i="1" a="1"/>
  <c r="R499" i="1" s="1"/>
  <c r="Q499" i="1" a="1"/>
  <c r="P499" i="1" a="1"/>
  <c r="S498" i="1" a="1"/>
  <c r="R498" i="1" a="1"/>
  <c r="R498" i="1" s="1"/>
  <c r="Q498" i="1" a="1"/>
  <c r="P498" i="1" a="1"/>
  <c r="S218" i="1" a="1"/>
  <c r="R218" i="1" a="1"/>
  <c r="R218" i="1" s="1"/>
  <c r="Q218" i="1" a="1"/>
  <c r="P218" i="1" a="1"/>
  <c r="S55" i="1" a="1"/>
  <c r="R55" i="1" a="1"/>
  <c r="R55" i="1" s="1"/>
  <c r="Q55" i="1" a="1"/>
  <c r="P55" i="1" a="1"/>
  <c r="S12" i="1" a="1"/>
  <c r="R12" i="1" a="1"/>
  <c r="R12" i="1" s="1"/>
  <c r="Q12" i="1" a="1"/>
  <c r="P12" i="1" a="1"/>
  <c r="S67" i="1" a="1"/>
  <c r="R67" i="1" a="1"/>
  <c r="R67" i="1" s="1"/>
  <c r="Q67" i="1" a="1"/>
  <c r="P67" i="1" a="1"/>
  <c r="S315" i="1" a="1"/>
  <c r="R315" i="1" a="1"/>
  <c r="R315" i="1" s="1"/>
  <c r="Q315" i="1" a="1"/>
  <c r="P315" i="1" a="1"/>
  <c r="S54" i="1" a="1"/>
  <c r="R54" i="1" a="1"/>
  <c r="R54" i="1" s="1"/>
  <c r="Q54" i="1" a="1"/>
  <c r="P54" i="1" a="1"/>
  <c r="S217" i="1" a="1"/>
  <c r="R217" i="1" a="1"/>
  <c r="R217" i="1" s="1"/>
  <c r="Q217" i="1" a="1"/>
  <c r="P217" i="1" a="1"/>
  <c r="S164" i="1" a="1"/>
  <c r="R164" i="1" a="1"/>
  <c r="R164" i="1" s="1"/>
  <c r="Q164" i="1" a="1"/>
  <c r="P164" i="1" a="1"/>
  <c r="S363" i="1" a="1"/>
  <c r="R363" i="1" a="1"/>
  <c r="R363" i="1" s="1"/>
  <c r="Q363" i="1" a="1"/>
  <c r="P363" i="1" a="1"/>
  <c r="S381" i="1" a="1"/>
  <c r="R381" i="1" a="1"/>
  <c r="R381" i="1" s="1"/>
  <c r="Q381" i="1" a="1"/>
  <c r="P381" i="1" a="1"/>
  <c r="S195" i="1" a="1"/>
  <c r="R195" i="1" a="1"/>
  <c r="R195" i="1" s="1"/>
  <c r="Q195" i="1" a="1"/>
  <c r="P195" i="1" a="1"/>
  <c r="S474" i="1" a="1"/>
  <c r="R474" i="1" a="1"/>
  <c r="R474" i="1" s="1"/>
  <c r="Q474" i="1" a="1"/>
  <c r="P474" i="1" a="1"/>
  <c r="S380" i="1" a="1"/>
  <c r="R380" i="1" a="1"/>
  <c r="R380" i="1" s="1"/>
  <c r="Q380" i="1" a="1"/>
  <c r="P380" i="1" a="1"/>
  <c r="S244" i="1" a="1"/>
  <c r="R244" i="1" a="1"/>
  <c r="R244" i="1" s="1"/>
  <c r="Q244" i="1" a="1"/>
  <c r="P244" i="1" a="1"/>
  <c r="S163" i="1" a="1"/>
  <c r="R163" i="1" a="1"/>
  <c r="R163" i="1" s="1"/>
  <c r="Q163" i="1" a="1"/>
  <c r="P163" i="1" a="1"/>
  <c r="S162" i="1" a="1"/>
  <c r="R162" i="1" a="1"/>
  <c r="R162" i="1" s="1"/>
  <c r="Q162" i="1" a="1"/>
  <c r="P162" i="1" a="1"/>
  <c r="S137" i="1" a="1"/>
  <c r="R137" i="1" a="1"/>
  <c r="R137" i="1" s="1"/>
  <c r="Q137" i="1" a="1"/>
  <c r="P137" i="1" a="1"/>
  <c r="S429" i="1" a="1"/>
  <c r="R429" i="1" a="1"/>
  <c r="R429" i="1" s="1"/>
  <c r="Q429" i="1" a="1"/>
  <c r="P429" i="1" a="1"/>
  <c r="S53" i="1" a="1"/>
  <c r="R53" i="1" a="1"/>
  <c r="R53" i="1" s="1"/>
  <c r="Q53" i="1" a="1"/>
  <c r="P53" i="1" a="1"/>
  <c r="S11" i="1" a="1"/>
  <c r="R11" i="1" a="1"/>
  <c r="R11" i="1" s="1"/>
  <c r="Q11" i="1" a="1"/>
  <c r="P11" i="1" a="1"/>
  <c r="S32" i="1" a="1"/>
  <c r="R32" i="1" a="1"/>
  <c r="R32" i="1" s="1"/>
  <c r="Q32" i="1" a="1"/>
  <c r="P32" i="1" a="1"/>
  <c r="S161" i="1" a="1"/>
  <c r="R161" i="1" a="1"/>
  <c r="R161" i="1" s="1"/>
  <c r="Q161" i="1" a="1"/>
  <c r="P161" i="1" a="1"/>
  <c r="S126" i="1" a="1"/>
  <c r="R126" i="1" a="1"/>
  <c r="R126" i="1" s="1"/>
  <c r="Q126" i="1" a="1"/>
  <c r="P126" i="1" a="1"/>
  <c r="S125" i="1" a="1"/>
  <c r="R125" i="1" a="1"/>
  <c r="R125" i="1" s="1"/>
  <c r="Q125" i="1" a="1"/>
  <c r="P125" i="1" a="1"/>
  <c r="S194" i="1" a="1"/>
  <c r="R194" i="1" a="1"/>
  <c r="R194" i="1" s="1"/>
  <c r="Q194" i="1" a="1"/>
  <c r="P194" i="1" a="1"/>
  <c r="S497" i="1" a="1"/>
  <c r="R497" i="1" a="1"/>
  <c r="R497" i="1" s="1"/>
  <c r="Q497" i="1" a="1"/>
  <c r="P497" i="1" a="1"/>
  <c r="S296" i="1" a="1"/>
  <c r="R296" i="1" a="1"/>
  <c r="R296" i="1" s="1"/>
  <c r="Q296" i="1" a="1"/>
  <c r="P296" i="1" a="1"/>
  <c r="S100" i="1" a="1"/>
  <c r="R100" i="1" a="1"/>
  <c r="R100" i="1" s="1"/>
  <c r="Q100" i="1" a="1"/>
  <c r="P100" i="1" a="1"/>
  <c r="S440" i="1" a="1"/>
  <c r="R440" i="1" a="1"/>
  <c r="R440" i="1" s="1"/>
  <c r="Q440" i="1" a="1"/>
  <c r="P440" i="1" a="1"/>
  <c r="S216" i="1" a="1"/>
  <c r="R216" i="1" a="1"/>
  <c r="R216" i="1" s="1"/>
  <c r="Q216" i="1" a="1"/>
  <c r="P216" i="1" a="1"/>
  <c r="S379" i="1" a="1"/>
  <c r="R379" i="1" a="1"/>
  <c r="R379" i="1" s="1"/>
  <c r="Q379" i="1" a="1"/>
  <c r="P379" i="1" a="1"/>
  <c r="S193" i="1" a="1"/>
  <c r="R193" i="1" a="1"/>
  <c r="R193" i="1" s="1"/>
  <c r="Q193" i="1" a="1"/>
  <c r="P193" i="1" a="1"/>
  <c r="S192" i="1" a="1"/>
  <c r="R192" i="1" a="1"/>
  <c r="R192" i="1" s="1"/>
  <c r="Q192" i="1" a="1"/>
  <c r="P192" i="1" a="1"/>
  <c r="S31" i="1" a="1"/>
  <c r="R31" i="1" a="1"/>
  <c r="R31" i="1" s="1"/>
  <c r="Q31" i="1" a="1"/>
  <c r="P31" i="1" a="1"/>
  <c r="S272" i="1" a="1"/>
  <c r="R272" i="1" a="1"/>
  <c r="R272" i="1" s="1"/>
  <c r="Q272" i="1" a="1"/>
  <c r="P272" i="1" a="1"/>
  <c r="S453" i="1" a="1"/>
  <c r="R453" i="1" a="1"/>
  <c r="R453" i="1" s="1"/>
  <c r="Q453" i="1" a="1"/>
  <c r="P453" i="1" a="1"/>
  <c r="S243" i="1" a="1"/>
  <c r="R243" i="1" a="1"/>
  <c r="R243" i="1" s="1"/>
  <c r="Q243" i="1" a="1"/>
  <c r="P243" i="1" a="1"/>
  <c r="S191" i="1" a="1"/>
  <c r="R191" i="1" a="1"/>
  <c r="R191" i="1" s="1"/>
  <c r="Q191" i="1" a="1"/>
  <c r="P191" i="1" a="1"/>
  <c r="S52" i="1" a="1"/>
  <c r="R52" i="1" a="1"/>
  <c r="R52" i="1" s="1"/>
  <c r="Q52" i="1" a="1"/>
  <c r="P52" i="1" a="1"/>
  <c r="S496" i="1" a="1"/>
  <c r="R496" i="1" a="1"/>
  <c r="R496" i="1" s="1"/>
  <c r="Q496" i="1" a="1"/>
  <c r="P496" i="1" a="1"/>
  <c r="S124" i="1" a="1"/>
  <c r="R124" i="1" a="1"/>
  <c r="R124" i="1" s="1"/>
  <c r="Q124" i="1" a="1"/>
  <c r="P124" i="1" a="1"/>
  <c r="S452" i="1" a="1"/>
  <c r="R452" i="1" a="1"/>
  <c r="R452" i="1" s="1"/>
  <c r="Q452" i="1" a="1"/>
  <c r="P452" i="1" a="1"/>
  <c r="S428" i="1" a="1"/>
  <c r="R428" i="1" a="1"/>
  <c r="R428" i="1" s="1"/>
  <c r="Q428" i="1" a="1"/>
  <c r="P428" i="1" a="1"/>
  <c r="S495" i="1" a="1"/>
  <c r="R495" i="1" a="1"/>
  <c r="R495" i="1" s="1"/>
  <c r="Q495" i="1" a="1"/>
  <c r="P495" i="1" a="1"/>
  <c r="S99" i="1" a="1"/>
  <c r="R99" i="1" a="1"/>
  <c r="R99" i="1" s="1"/>
  <c r="Q99" i="1" a="1"/>
  <c r="P99" i="1" a="1"/>
  <c r="S494" i="1" a="1"/>
  <c r="R494" i="1" a="1"/>
  <c r="R494" i="1" s="1"/>
  <c r="Q494" i="1" a="1"/>
  <c r="P494" i="1" a="1"/>
  <c r="S123" i="1" a="1"/>
  <c r="R123" i="1" a="1"/>
  <c r="R123" i="1" s="1"/>
  <c r="Q123" i="1" a="1"/>
  <c r="P123" i="1" a="1"/>
  <c r="S473" i="1" a="1"/>
  <c r="R473" i="1" a="1"/>
  <c r="R473" i="1" s="1"/>
  <c r="Q473" i="1" a="1"/>
  <c r="P473" i="1" a="1"/>
  <c r="S362" i="1" a="1"/>
  <c r="R362" i="1" a="1"/>
  <c r="R362" i="1" s="1"/>
  <c r="Q362" i="1" a="1"/>
  <c r="P362" i="1" a="1"/>
  <c r="S295" i="1" a="1"/>
  <c r="R295" i="1" a="1"/>
  <c r="R295" i="1" s="1"/>
  <c r="Q295" i="1" a="1"/>
  <c r="P295" i="1" a="1"/>
  <c r="S378" i="1" a="1"/>
  <c r="R378" i="1" a="1"/>
  <c r="R378" i="1" s="1"/>
  <c r="Q378" i="1" a="1"/>
  <c r="P378" i="1" a="1"/>
  <c r="S427" i="1" a="1"/>
  <c r="R427" i="1" a="1"/>
  <c r="R427" i="1" s="1"/>
  <c r="Q427" i="1" a="1"/>
  <c r="P427" i="1" a="1"/>
  <c r="S472" i="1" a="1"/>
  <c r="R472" i="1" a="1"/>
  <c r="R472" i="1" s="1"/>
  <c r="Q472" i="1" a="1"/>
  <c r="P472" i="1" a="1"/>
  <c r="S160" i="1" a="1"/>
  <c r="R160" i="1" a="1"/>
  <c r="R160" i="1" s="1"/>
  <c r="Q160" i="1" a="1"/>
  <c r="P160" i="1" a="1"/>
  <c r="S30" i="1" a="1"/>
  <c r="R30" i="1" a="1"/>
  <c r="R30" i="1" s="1"/>
  <c r="Q30" i="1" a="1"/>
  <c r="P30" i="1" a="1"/>
  <c r="S339" i="1" a="1"/>
  <c r="R339" i="1" a="1"/>
  <c r="R339" i="1" s="1"/>
  <c r="Q339" i="1" a="1"/>
  <c r="P339" i="1" a="1"/>
  <c r="S82" i="1" a="1"/>
  <c r="R82" i="1" a="1"/>
  <c r="R82" i="1" s="1"/>
  <c r="Q82" i="1" a="1"/>
  <c r="P82" i="1" a="1"/>
  <c r="S471" i="1" a="1"/>
  <c r="R471" i="1" a="1"/>
  <c r="R471" i="1" s="1"/>
  <c r="Q471" i="1" a="1"/>
  <c r="P471" i="1" a="1"/>
  <c r="S314" i="1" a="1"/>
  <c r="R314" i="1" a="1"/>
  <c r="R314" i="1" s="1"/>
  <c r="Q314" i="1" a="1"/>
  <c r="P314" i="1" a="1"/>
  <c r="S313" i="1" a="1"/>
  <c r="R313" i="1" a="1"/>
  <c r="R313" i="1" s="1"/>
  <c r="Q313" i="1" a="1"/>
  <c r="P313" i="1" a="1"/>
  <c r="S271" i="1" a="1"/>
  <c r="R271" i="1" a="1"/>
  <c r="R271" i="1" s="1"/>
  <c r="Q271" i="1" a="1"/>
  <c r="P271" i="1" a="1"/>
  <c r="S66" i="1" a="1"/>
  <c r="R66" i="1" a="1"/>
  <c r="R66" i="1" s="1"/>
  <c r="Q66" i="1" a="1"/>
  <c r="P66" i="1" a="1"/>
  <c r="S312" i="1" a="1"/>
  <c r="R312" i="1" a="1"/>
  <c r="R312" i="1" s="1"/>
  <c r="Q312" i="1" a="1"/>
  <c r="P312" i="1" a="1"/>
  <c r="S98" i="1" a="1"/>
  <c r="R98" i="1" a="1"/>
  <c r="R98" i="1" s="1"/>
  <c r="Q98" i="1" a="1"/>
  <c r="P98" i="1" a="1"/>
  <c r="S10" i="1" a="1"/>
  <c r="R10" i="1" a="1"/>
  <c r="R10" i="1" s="1"/>
  <c r="Q10" i="1" a="1"/>
  <c r="P10" i="1" a="1"/>
  <c r="S338" i="1" a="1"/>
  <c r="R338" i="1" a="1"/>
  <c r="R338" i="1" s="1"/>
  <c r="Q338" i="1" a="1"/>
  <c r="P338" i="1" a="1"/>
  <c r="S29" i="1" a="1"/>
  <c r="R29" i="1" a="1"/>
  <c r="R29" i="1" s="1"/>
  <c r="Q29" i="1" a="1"/>
  <c r="P29" i="1" a="1"/>
  <c r="S81" i="1" a="1"/>
  <c r="R81" i="1" a="1"/>
  <c r="R81" i="1" s="1"/>
  <c r="Q81" i="1" a="1"/>
  <c r="P81" i="1" a="1"/>
  <c r="S493" i="1" a="1"/>
  <c r="R493" i="1" a="1"/>
  <c r="R493" i="1" s="1"/>
  <c r="Q493" i="1" a="1"/>
  <c r="P493" i="1" a="1"/>
  <c r="S426" i="1" a="1"/>
  <c r="R426" i="1" a="1"/>
  <c r="R426" i="1" s="1"/>
  <c r="Q426" i="1" a="1"/>
  <c r="P426" i="1" a="1"/>
  <c r="S311" i="1" a="1"/>
  <c r="R311" i="1" a="1"/>
  <c r="R311" i="1" s="1"/>
  <c r="Q311" i="1" a="1"/>
  <c r="P311" i="1" a="1"/>
  <c r="S51" i="1" a="1"/>
  <c r="R51" i="1" a="1"/>
  <c r="R51" i="1" s="1"/>
  <c r="Q51" i="1" a="1"/>
  <c r="P51" i="1" a="1"/>
  <c r="S294" i="1" a="1"/>
  <c r="R294" i="1" a="1"/>
  <c r="R294" i="1" s="1"/>
  <c r="Q294" i="1" a="1"/>
  <c r="P294" i="1" a="1"/>
  <c r="S492" i="1" a="1"/>
  <c r="R492" i="1" a="1"/>
  <c r="R492" i="1" s="1"/>
  <c r="Q492" i="1" a="1"/>
  <c r="P492" i="1" a="1"/>
  <c r="S293" i="1" a="1"/>
  <c r="R293" i="1" a="1"/>
  <c r="R293" i="1" s="1"/>
  <c r="Q293" i="1" a="1"/>
  <c r="P293" i="1" a="1"/>
  <c r="S28" i="1" a="1"/>
  <c r="R28" i="1" a="1"/>
  <c r="R28" i="1" s="1"/>
  <c r="Q28" i="1" a="1"/>
  <c r="P28" i="1" a="1"/>
  <c r="S470" i="1" a="1"/>
  <c r="R470" i="1" a="1"/>
  <c r="R470" i="1" s="1"/>
  <c r="Q470" i="1" a="1"/>
  <c r="P470" i="1" a="1"/>
  <c r="S122" i="1" a="1"/>
  <c r="R122" i="1" a="1"/>
  <c r="R122" i="1" s="1"/>
  <c r="Q122" i="1" a="1"/>
  <c r="P122" i="1" a="1"/>
  <c r="S439" i="1" a="1"/>
  <c r="R439" i="1" a="1"/>
  <c r="R439" i="1" s="1"/>
  <c r="Q439" i="1" a="1"/>
  <c r="P439" i="1" a="1"/>
  <c r="S215" i="1" a="1"/>
  <c r="R215" i="1" a="1"/>
  <c r="R215" i="1" s="1"/>
  <c r="Q215" i="1" a="1"/>
  <c r="P215" i="1" a="1"/>
  <c r="S270" i="1" a="1"/>
  <c r="R270" i="1" a="1"/>
  <c r="R270" i="1" s="1"/>
  <c r="Q270" i="1" a="1"/>
  <c r="P270" i="1" a="1"/>
  <c r="S190" i="1" a="1"/>
  <c r="R190" i="1" a="1"/>
  <c r="R190" i="1" s="1"/>
  <c r="Q190" i="1" a="1"/>
  <c r="P190" i="1" a="1"/>
  <c r="S292" i="1" a="1"/>
  <c r="R292" i="1" a="1"/>
  <c r="R292" i="1" s="1"/>
  <c r="Q292" i="1" a="1"/>
  <c r="P292" i="1" a="1"/>
  <c r="S425" i="1" a="1"/>
  <c r="R425" i="1" a="1"/>
  <c r="R425" i="1" s="1"/>
  <c r="Q425" i="1" a="1"/>
  <c r="P425" i="1" a="1"/>
  <c r="S159" i="1" a="1"/>
  <c r="R159" i="1" a="1"/>
  <c r="R159" i="1" s="1"/>
  <c r="Q159" i="1" a="1"/>
  <c r="P159" i="1" a="1"/>
  <c r="S310" i="1" a="1"/>
  <c r="R310" i="1" a="1"/>
  <c r="R310" i="1" s="1"/>
  <c r="Q310" i="1" a="1"/>
  <c r="P310" i="1" a="1"/>
  <c r="S121" i="1" a="1"/>
  <c r="R121" i="1" a="1"/>
  <c r="R121" i="1" s="1"/>
  <c r="Q121" i="1" a="1"/>
  <c r="P121" i="1" a="1"/>
  <c r="S337" i="1" a="1"/>
  <c r="R337" i="1" a="1"/>
  <c r="R337" i="1" s="1"/>
  <c r="Q337" i="1" a="1"/>
  <c r="P337" i="1" a="1"/>
  <c r="S80" i="1" a="1"/>
  <c r="R80" i="1" a="1"/>
  <c r="R80" i="1" s="1"/>
  <c r="Q80" i="1" a="1"/>
  <c r="P80" i="1" a="1"/>
  <c r="S400" i="1" a="1"/>
  <c r="R400" i="1" a="1"/>
  <c r="R400" i="1" s="1"/>
  <c r="Q400" i="1" a="1"/>
  <c r="P400" i="1" a="1"/>
  <c r="S242" i="1" a="1"/>
  <c r="R242" i="1" a="1"/>
  <c r="R242" i="1" s="1"/>
  <c r="Q242" i="1" a="1"/>
  <c r="P242" i="1" a="1"/>
  <c r="S120" i="1" a="1"/>
  <c r="R120" i="1" a="1"/>
  <c r="R120" i="1" s="1"/>
  <c r="Q120" i="1" a="1"/>
  <c r="P120" i="1" a="1"/>
  <c r="S291" i="1" a="1"/>
  <c r="R291" i="1" a="1"/>
  <c r="R291" i="1" s="1"/>
  <c r="Q291" i="1" a="1"/>
  <c r="P291" i="1" a="1"/>
  <c r="S361" i="1" a="1"/>
  <c r="R361" i="1" a="1"/>
  <c r="R361" i="1" s="1"/>
  <c r="Q361" i="1" a="1"/>
  <c r="P361" i="1" a="1"/>
  <c r="S9" i="1" a="1"/>
  <c r="R9" i="1" a="1"/>
  <c r="R9" i="1" s="1"/>
  <c r="Q9" i="1" a="1"/>
  <c r="P9" i="1" a="1"/>
  <c r="S158" i="1" a="1"/>
  <c r="R158" i="1" a="1"/>
  <c r="R158" i="1" s="1"/>
  <c r="Q158" i="1" a="1"/>
  <c r="P158" i="1" a="1"/>
  <c r="S97" i="1" a="1"/>
  <c r="R97" i="1" a="1"/>
  <c r="R97" i="1" s="1"/>
  <c r="Q97" i="1" a="1"/>
  <c r="P97" i="1" a="1"/>
  <c r="S50" i="1" a="1"/>
  <c r="R50" i="1" a="1"/>
  <c r="R50" i="1" s="1"/>
  <c r="Q50" i="1" a="1"/>
  <c r="P50" i="1" a="1"/>
  <c r="S189" i="1" a="1"/>
  <c r="R189" i="1" a="1"/>
  <c r="R189" i="1" s="1"/>
  <c r="Q189" i="1" a="1"/>
  <c r="P189" i="1" a="1"/>
  <c r="S469" i="1" a="1"/>
  <c r="R469" i="1" a="1"/>
  <c r="R469" i="1" s="1"/>
  <c r="Q469" i="1" a="1"/>
  <c r="P469" i="1" a="1"/>
  <c r="S424" i="1" a="1"/>
  <c r="R424" i="1" a="1"/>
  <c r="R424" i="1" s="1"/>
  <c r="Q424" i="1" a="1"/>
  <c r="P424" i="1" a="1"/>
  <c r="S399" i="1" a="1"/>
  <c r="R399" i="1" a="1"/>
  <c r="R399" i="1" s="1"/>
  <c r="Q399" i="1" a="1"/>
  <c r="P399" i="1" a="1"/>
  <c r="S336" i="1" a="1"/>
  <c r="R336" i="1" a="1"/>
  <c r="R336" i="1" s="1"/>
  <c r="Q336" i="1" a="1"/>
  <c r="P336" i="1" a="1"/>
  <c r="S468" i="1" a="1"/>
  <c r="R468" i="1" a="1"/>
  <c r="R468" i="1" s="1"/>
  <c r="Q468" i="1" a="1"/>
  <c r="P468" i="1" a="1"/>
  <c r="S241" i="1" a="1"/>
  <c r="R241" i="1" a="1"/>
  <c r="R241" i="1" s="1"/>
  <c r="Q241" i="1" a="1"/>
  <c r="P241" i="1" a="1"/>
  <c r="S491" i="1" a="1"/>
  <c r="R491" i="1" a="1"/>
  <c r="R491" i="1" s="1"/>
  <c r="Q491" i="1" a="1"/>
  <c r="P491" i="1" a="1"/>
  <c r="S214" i="1" a="1"/>
  <c r="R214" i="1" a="1"/>
  <c r="R214" i="1" s="1"/>
  <c r="Q214" i="1" a="1"/>
  <c r="P214" i="1" a="1"/>
  <c r="S309" i="1" a="1"/>
  <c r="R309" i="1" a="1"/>
  <c r="R309" i="1" s="1"/>
  <c r="Q309" i="1" a="1"/>
  <c r="P309" i="1" a="1"/>
  <c r="S213" i="1" a="1"/>
  <c r="R213" i="1" a="1"/>
  <c r="R213" i="1" s="1"/>
  <c r="Q213" i="1" a="1"/>
  <c r="P213" i="1" a="1"/>
  <c r="S398" i="1" a="1"/>
  <c r="R398" i="1" a="1"/>
  <c r="R398" i="1" s="1"/>
  <c r="Q398" i="1" a="1"/>
  <c r="P398" i="1" a="1"/>
  <c r="S240" i="1" a="1"/>
  <c r="R240" i="1" a="1"/>
  <c r="R240" i="1" s="1"/>
  <c r="Q240" i="1" a="1"/>
  <c r="P240" i="1" a="1"/>
  <c r="S269" i="1" a="1"/>
  <c r="R269" i="1" a="1"/>
  <c r="R269" i="1" s="1"/>
  <c r="Q269" i="1" a="1"/>
  <c r="P269" i="1" a="1"/>
  <c r="S188" i="1" a="1"/>
  <c r="R188" i="1" a="1"/>
  <c r="R188" i="1" s="1"/>
  <c r="Q188" i="1" a="1"/>
  <c r="P188" i="1" a="1"/>
  <c r="S467" i="1" a="1"/>
  <c r="R467" i="1" a="1"/>
  <c r="R467" i="1" s="1"/>
  <c r="Q467" i="1" a="1"/>
  <c r="P467" i="1" a="1"/>
  <c r="S290" i="1" a="1"/>
  <c r="R290" i="1" a="1"/>
  <c r="R290" i="1" s="1"/>
  <c r="Q290" i="1" a="1"/>
  <c r="P290" i="1" a="1"/>
  <c r="S360" i="1" a="1"/>
  <c r="R360" i="1" a="1"/>
  <c r="R360" i="1" s="1"/>
  <c r="Q360" i="1" a="1"/>
  <c r="P360" i="1" a="1"/>
  <c r="S212" i="1" a="1"/>
  <c r="R212" i="1" a="1"/>
  <c r="R212" i="1" s="1"/>
  <c r="Q212" i="1" a="1"/>
  <c r="P212" i="1" a="1"/>
  <c r="S438" i="1" a="1"/>
  <c r="R438" i="1" a="1"/>
  <c r="R438" i="1" s="1"/>
  <c r="Q438" i="1" a="1"/>
  <c r="P438" i="1" a="1"/>
  <c r="S359" i="1" a="1"/>
  <c r="R359" i="1" a="1"/>
  <c r="R359" i="1" s="1"/>
  <c r="Q359" i="1" a="1"/>
  <c r="P359" i="1" a="1"/>
  <c r="S490" i="1" a="1"/>
  <c r="R490" i="1" a="1"/>
  <c r="R490" i="1" s="1"/>
  <c r="Q490" i="1" a="1"/>
  <c r="P490" i="1" a="1"/>
  <c r="S335" i="1" a="1"/>
  <c r="R335" i="1" a="1"/>
  <c r="R335" i="1" s="1"/>
  <c r="Q335" i="1" a="1"/>
  <c r="P335" i="1" a="1"/>
  <c r="S157" i="1" a="1"/>
  <c r="R157" i="1" a="1"/>
  <c r="R157" i="1" s="1"/>
  <c r="Q157" i="1" a="1"/>
  <c r="P157" i="1" a="1"/>
  <c r="S239" i="1" a="1"/>
  <c r="R239" i="1" a="1"/>
  <c r="R239" i="1" s="1"/>
  <c r="Q239" i="1" a="1"/>
  <c r="P239" i="1" a="1"/>
  <c r="S187" i="1" a="1"/>
  <c r="R187" i="1" a="1"/>
  <c r="R187" i="1" s="1"/>
  <c r="Q187" i="1" a="1"/>
  <c r="P187" i="1" a="1"/>
  <c r="S96" i="1" a="1"/>
  <c r="R96" i="1" a="1"/>
  <c r="R96" i="1" s="1"/>
  <c r="Q96" i="1" a="1"/>
  <c r="P96" i="1" a="1"/>
  <c r="S186" i="1" a="1"/>
  <c r="R186" i="1" a="1"/>
  <c r="R186" i="1" s="1"/>
  <c r="Q186" i="1" a="1"/>
  <c r="P186" i="1" a="1"/>
  <c r="S119" i="1" a="1"/>
  <c r="R119" i="1" a="1"/>
  <c r="R119" i="1" s="1"/>
  <c r="Q119" i="1" a="1"/>
  <c r="P119" i="1" a="1"/>
  <c r="S238" i="1" a="1"/>
  <c r="R238" i="1" a="1"/>
  <c r="R238" i="1" s="1"/>
  <c r="Q238" i="1" a="1"/>
  <c r="P238" i="1" a="1"/>
  <c r="S185" i="1" a="1"/>
  <c r="R185" i="1" a="1"/>
  <c r="R185" i="1" s="1"/>
  <c r="Q185" i="1" a="1"/>
  <c r="P185" i="1" a="1"/>
  <c r="S358" i="1" a="1"/>
  <c r="R358" i="1" a="1"/>
  <c r="R358" i="1" s="1"/>
  <c r="Q358" i="1" a="1"/>
  <c r="P358" i="1" a="1"/>
  <c r="S237" i="1" a="1"/>
  <c r="R237" i="1" a="1"/>
  <c r="R237" i="1" s="1"/>
  <c r="Q237" i="1" a="1"/>
  <c r="P237" i="1" a="1"/>
  <c r="S308" i="1" a="1"/>
  <c r="R308" i="1" a="1"/>
  <c r="R308" i="1" s="1"/>
  <c r="Q308" i="1" a="1"/>
  <c r="P308" i="1" a="1"/>
  <c r="S211" i="1" a="1"/>
  <c r="R211" i="1" a="1"/>
  <c r="R211" i="1" s="1"/>
  <c r="Q211" i="1" a="1"/>
  <c r="P211" i="1" a="1"/>
  <c r="S466" i="1" a="1"/>
  <c r="R466" i="1" a="1"/>
  <c r="R466" i="1" s="1"/>
  <c r="Q466" i="1" a="1"/>
  <c r="P466" i="1" a="1"/>
  <c r="S27" i="1" a="1"/>
  <c r="R27" i="1" a="1"/>
  <c r="R27" i="1" s="1"/>
  <c r="Q27" i="1" a="1"/>
  <c r="P27" i="1" a="1"/>
  <c r="S118" i="1" a="1"/>
  <c r="R118" i="1" a="1"/>
  <c r="R118" i="1" s="1"/>
  <c r="Q118" i="1" a="1"/>
  <c r="P118" i="1" a="1"/>
  <c r="S8" i="1" a="1"/>
  <c r="R8" i="1" a="1"/>
  <c r="R8" i="1" s="1"/>
  <c r="Q8" i="1" a="1"/>
  <c r="P8" i="1" a="1"/>
  <c r="S7" i="1" a="1"/>
  <c r="R7" i="1" a="1"/>
  <c r="R7" i="1" s="1"/>
  <c r="Q7" i="1" a="1"/>
  <c r="P7" i="1" a="1"/>
  <c r="S95" i="1" a="1"/>
  <c r="R95" i="1" a="1"/>
  <c r="R95" i="1" s="1"/>
  <c r="Q95" i="1" a="1"/>
  <c r="P95" i="1" a="1"/>
  <c r="S289" i="1" a="1"/>
  <c r="R289" i="1" a="1"/>
  <c r="R289" i="1" s="1"/>
  <c r="Q289" i="1" a="1"/>
  <c r="P289" i="1" a="1"/>
  <c r="S307" i="1" a="1"/>
  <c r="R307" i="1" a="1"/>
  <c r="R307" i="1" s="1"/>
  <c r="Q307" i="1" a="1"/>
  <c r="P307" i="1" a="1"/>
  <c r="S49" i="1" a="1"/>
  <c r="R49" i="1" a="1"/>
  <c r="R49" i="1" s="1"/>
  <c r="Q49" i="1" a="1"/>
  <c r="P49" i="1" a="1"/>
  <c r="S210" i="1" a="1"/>
  <c r="R210" i="1" a="1"/>
  <c r="R210" i="1" s="1"/>
  <c r="Q210" i="1" a="1"/>
  <c r="P210" i="1" a="1"/>
  <c r="S437" i="1" a="1"/>
  <c r="R437" i="1" a="1"/>
  <c r="R437" i="1" s="1"/>
  <c r="Q437" i="1" a="1"/>
  <c r="P437" i="1" a="1"/>
  <c r="S268" i="1" a="1"/>
  <c r="R268" i="1" a="1"/>
  <c r="R268" i="1" s="1"/>
  <c r="Q268" i="1" a="1"/>
  <c r="P268" i="1" a="1"/>
  <c r="S117" i="1" a="1"/>
  <c r="R117" i="1" a="1"/>
  <c r="R117" i="1" s="1"/>
  <c r="Q117" i="1" a="1"/>
  <c r="P117" i="1" a="1"/>
  <c r="S489" i="1" a="1"/>
  <c r="R489" i="1" a="1"/>
  <c r="R489" i="1" s="1"/>
  <c r="Q489" i="1" a="1"/>
  <c r="P489" i="1" a="1"/>
  <c r="S156" i="1" a="1"/>
  <c r="R156" i="1" a="1"/>
  <c r="R156" i="1" s="1"/>
  <c r="Q156" i="1" a="1"/>
  <c r="P156" i="1" a="1"/>
  <c r="S48" i="1" a="1"/>
  <c r="R48" i="1" a="1"/>
  <c r="R48" i="1" s="1"/>
  <c r="Q48" i="1" a="1"/>
  <c r="P48" i="1" a="1"/>
  <c r="S306" i="1" a="1"/>
  <c r="R306" i="1" a="1"/>
  <c r="R306" i="1" s="1"/>
  <c r="Q306" i="1" a="1"/>
  <c r="P306" i="1" a="1"/>
  <c r="S155" i="1" a="1"/>
  <c r="R155" i="1" a="1"/>
  <c r="R155" i="1" s="1"/>
  <c r="Q155" i="1" a="1"/>
  <c r="P155" i="1" a="1"/>
  <c r="S116" i="1" a="1"/>
  <c r="R116" i="1" a="1"/>
  <c r="R116" i="1" s="1"/>
  <c r="Q116" i="1" a="1"/>
  <c r="P116" i="1" a="1"/>
  <c r="S94" i="1" a="1"/>
  <c r="R94" i="1" a="1"/>
  <c r="R94" i="1" s="1"/>
  <c r="Q94" i="1" a="1"/>
  <c r="P94" i="1" a="1"/>
  <c r="S397" i="1" a="1"/>
  <c r="R397" i="1" a="1"/>
  <c r="R397" i="1" s="1"/>
  <c r="Q397" i="1" a="1"/>
  <c r="P397" i="1" a="1"/>
  <c r="S154" i="1" a="1"/>
  <c r="R154" i="1" a="1"/>
  <c r="R154" i="1" s="1"/>
  <c r="Q154" i="1" a="1"/>
  <c r="P154" i="1" a="1"/>
  <c r="S115" i="1" a="1"/>
  <c r="R115" i="1" a="1"/>
  <c r="R115" i="1" s="1"/>
  <c r="Q115" i="1" a="1"/>
  <c r="P115" i="1" a="1"/>
  <c r="S288" i="1" a="1"/>
  <c r="R288" i="1" a="1"/>
  <c r="R288" i="1" s="1"/>
  <c r="Q288" i="1" a="1"/>
  <c r="P288" i="1" a="1"/>
  <c r="S184" i="1" a="1"/>
  <c r="R184" i="1" a="1"/>
  <c r="R184" i="1" s="1"/>
  <c r="Q184" i="1" a="1"/>
  <c r="P184" i="1" a="1"/>
  <c r="S334" i="1" a="1"/>
  <c r="R334" i="1" a="1"/>
  <c r="R334" i="1" s="1"/>
  <c r="Q334" i="1" a="1"/>
  <c r="P334" i="1" a="1"/>
  <c r="S136" i="1" a="1"/>
  <c r="R136" i="1" a="1"/>
  <c r="R136" i="1" s="1"/>
  <c r="Q136" i="1" a="1"/>
  <c r="P136" i="1" a="1"/>
  <c r="S65" i="1" a="1"/>
  <c r="R65" i="1" a="1"/>
  <c r="R65" i="1" s="1"/>
  <c r="Q65" i="1" a="1"/>
  <c r="P65" i="1" a="1"/>
  <c r="S465" i="1" a="1"/>
  <c r="R465" i="1" a="1"/>
  <c r="R465" i="1" s="1"/>
  <c r="Q465" i="1" a="1"/>
  <c r="P465" i="1" a="1"/>
  <c r="S357" i="1" a="1"/>
  <c r="R357" i="1" a="1"/>
  <c r="R357" i="1" s="1"/>
  <c r="Q357" i="1" a="1"/>
  <c r="P357" i="1" a="1"/>
  <c r="S333" i="1" a="1"/>
  <c r="R333" i="1" a="1"/>
  <c r="R333" i="1" s="1"/>
  <c r="Q333" i="1" a="1"/>
  <c r="P333" i="1" a="1"/>
  <c r="S64" i="1" a="1"/>
  <c r="R64" i="1" a="1"/>
  <c r="R64" i="1" s="1"/>
  <c r="Q64" i="1" a="1"/>
  <c r="P64" i="1" a="1"/>
  <c r="S287" i="1" a="1"/>
  <c r="R287" i="1" a="1"/>
  <c r="R287" i="1" s="1"/>
  <c r="Q287" i="1" a="1"/>
  <c r="P287" i="1" a="1"/>
  <c r="S377" i="1" a="1"/>
  <c r="R377" i="1" a="1"/>
  <c r="R377" i="1" s="1"/>
  <c r="Q377" i="1" a="1"/>
  <c r="P377" i="1" a="1"/>
  <c r="S464" i="1" a="1"/>
  <c r="R464" i="1" a="1"/>
  <c r="R464" i="1" s="1"/>
  <c r="Q464" i="1" a="1"/>
  <c r="P464" i="1" a="1"/>
  <c r="S423" i="1" a="1"/>
  <c r="R423" i="1" a="1"/>
  <c r="R423" i="1" s="1"/>
  <c r="Q423" i="1" a="1"/>
  <c r="P423" i="1" a="1"/>
  <c r="S114" i="1" a="1"/>
  <c r="R114" i="1" a="1"/>
  <c r="R114" i="1" s="1"/>
  <c r="Q114" i="1" a="1"/>
  <c r="P114" i="1" a="1"/>
  <c r="S305" i="1" a="1"/>
  <c r="R305" i="1" a="1"/>
  <c r="R305" i="1" s="1"/>
  <c r="Q305" i="1" a="1"/>
  <c r="P305" i="1" a="1"/>
  <c r="S209" i="1" a="1"/>
  <c r="R209" i="1" a="1"/>
  <c r="R209" i="1" s="1"/>
  <c r="Q209" i="1" a="1"/>
  <c r="P209" i="1" a="1"/>
  <c r="S356" i="1" a="1"/>
  <c r="R356" i="1" a="1"/>
  <c r="R356" i="1" s="1"/>
  <c r="Q356" i="1" a="1"/>
  <c r="P356" i="1" a="1"/>
  <c r="S236" i="1" a="1"/>
  <c r="R236" i="1" a="1"/>
  <c r="R236" i="1" s="1"/>
  <c r="Q236" i="1" a="1"/>
  <c r="P236" i="1" a="1"/>
  <c r="S332" i="1" a="1"/>
  <c r="R332" i="1" a="1"/>
  <c r="R332" i="1" s="1"/>
  <c r="Q332" i="1" a="1"/>
  <c r="P332" i="1" a="1"/>
  <c r="S183" i="1" a="1"/>
  <c r="R183" i="1" a="1"/>
  <c r="R183" i="1" s="1"/>
  <c r="Q183" i="1" a="1"/>
  <c r="P183" i="1" a="1"/>
  <c r="S267" i="1" a="1"/>
  <c r="R267" i="1" a="1"/>
  <c r="R267" i="1" s="1"/>
  <c r="Q267" i="1" a="1"/>
  <c r="P267" i="1" a="1"/>
  <c r="S355" i="1" a="1"/>
  <c r="R355" i="1" a="1"/>
  <c r="R355" i="1" s="1"/>
  <c r="Q355" i="1" a="1"/>
  <c r="P355" i="1" a="1"/>
  <c r="S266" i="1" a="1"/>
  <c r="R266" i="1" a="1"/>
  <c r="R266" i="1" s="1"/>
  <c r="Q266" i="1" a="1"/>
  <c r="P266" i="1" a="1"/>
  <c r="S436" i="1" a="1"/>
  <c r="R436" i="1" a="1"/>
  <c r="R436" i="1" s="1"/>
  <c r="Q436" i="1" a="1"/>
  <c r="P436" i="1" a="1"/>
  <c r="S265" i="1" a="1"/>
  <c r="R265" i="1" a="1"/>
  <c r="R265" i="1" s="1"/>
  <c r="Q265" i="1" a="1"/>
  <c r="P265" i="1" a="1"/>
  <c r="S488" i="1" a="1"/>
  <c r="R488" i="1" a="1"/>
  <c r="R488" i="1" s="1"/>
  <c r="Q488" i="1" a="1"/>
  <c r="P488" i="1" a="1"/>
  <c r="S47" i="1" a="1"/>
  <c r="R47" i="1" a="1"/>
  <c r="R47" i="1" s="1"/>
  <c r="Q47" i="1" a="1"/>
  <c r="P47" i="1" a="1"/>
  <c r="S487" i="1" a="1"/>
  <c r="R487" i="1" a="1"/>
  <c r="R487" i="1" s="1"/>
  <c r="Q487" i="1" a="1"/>
  <c r="P487" i="1" a="1"/>
  <c r="S331" i="1" a="1"/>
  <c r="R331" i="1" a="1"/>
  <c r="R331" i="1" s="1"/>
  <c r="Q331" i="1" a="1"/>
  <c r="P331" i="1" a="1"/>
  <c r="S153" i="1" a="1"/>
  <c r="R153" i="1" a="1"/>
  <c r="R153" i="1" s="1"/>
  <c r="Q153" i="1" a="1"/>
  <c r="P153" i="1" a="1"/>
  <c r="S376" i="1" a="1"/>
  <c r="R376" i="1" a="1"/>
  <c r="R376" i="1" s="1"/>
  <c r="Q376" i="1" a="1"/>
  <c r="P376" i="1" a="1"/>
  <c r="S451" i="1" a="1"/>
  <c r="R451" i="1" a="1"/>
  <c r="R451" i="1" s="1"/>
  <c r="Q451" i="1" a="1"/>
  <c r="P451" i="1" a="1"/>
  <c r="S486" i="1" a="1"/>
  <c r="R486" i="1" a="1"/>
  <c r="R486" i="1" s="1"/>
  <c r="Q486" i="1" a="1"/>
  <c r="P486" i="1" a="1"/>
  <c r="S450" i="1" a="1"/>
  <c r="R450" i="1" a="1"/>
  <c r="R450" i="1" s="1"/>
  <c r="Q450" i="1" a="1"/>
  <c r="P450" i="1" a="1"/>
  <c r="S286" i="1" a="1"/>
  <c r="R286" i="1" a="1"/>
  <c r="R286" i="1" s="1"/>
  <c r="Q286" i="1" a="1"/>
  <c r="P286" i="1" a="1"/>
  <c r="S93" i="1" a="1"/>
  <c r="R93" i="1" a="1"/>
  <c r="R93" i="1" s="1"/>
  <c r="Q93" i="1" a="1"/>
  <c r="P93" i="1" a="1"/>
  <c r="S46" i="1" a="1"/>
  <c r="R46" i="1" a="1"/>
  <c r="R46" i="1" s="1"/>
  <c r="Q46" i="1" a="1"/>
  <c r="P46" i="1" a="1"/>
  <c r="S264" i="1" a="1"/>
  <c r="R264" i="1" a="1"/>
  <c r="R264" i="1" s="1"/>
  <c r="Q264" i="1" a="1"/>
  <c r="P264" i="1" a="1"/>
  <c r="S375" i="1" a="1"/>
  <c r="R375" i="1" a="1"/>
  <c r="R375" i="1" s="1"/>
  <c r="Q375" i="1" a="1"/>
  <c r="P375" i="1" a="1"/>
  <c r="S374" i="1" a="1"/>
  <c r="R374" i="1" a="1"/>
  <c r="R374" i="1" s="1"/>
  <c r="Q374" i="1" a="1"/>
  <c r="P374" i="1" a="1"/>
  <c r="S79" i="1" a="1"/>
  <c r="R79" i="1" a="1"/>
  <c r="R79" i="1" s="1"/>
  <c r="Q79" i="1" a="1"/>
  <c r="P79" i="1" a="1"/>
  <c r="S208" i="1" a="1"/>
  <c r="R208" i="1" a="1"/>
  <c r="R208" i="1" s="1"/>
  <c r="Q208" i="1" a="1"/>
  <c r="P208" i="1" a="1"/>
  <c r="S354" i="1" a="1"/>
  <c r="R354" i="1" a="1"/>
  <c r="R354" i="1" s="1"/>
  <c r="Q354" i="1" a="1"/>
  <c r="P354" i="1" a="1"/>
  <c r="S113" i="1" a="1"/>
  <c r="R113" i="1" a="1"/>
  <c r="R113" i="1" s="1"/>
  <c r="Q113" i="1" a="1"/>
  <c r="P113" i="1" a="1"/>
  <c r="S135" i="1" a="1"/>
  <c r="R135" i="1" a="1"/>
  <c r="R135" i="1" s="1"/>
  <c r="Q135" i="1" a="1"/>
  <c r="P135" i="1" a="1"/>
  <c r="S330" i="1" a="1"/>
  <c r="R330" i="1" a="1"/>
  <c r="R330" i="1" s="1"/>
  <c r="Q330" i="1" a="1"/>
  <c r="P330" i="1" a="1"/>
  <c r="S235" i="1" a="1"/>
  <c r="R235" i="1" a="1"/>
  <c r="R235" i="1" s="1"/>
  <c r="Q235" i="1" a="1"/>
  <c r="P235" i="1" a="1"/>
  <c r="S152" i="1" a="1"/>
  <c r="R152" i="1" a="1"/>
  <c r="R152" i="1" s="1"/>
  <c r="Q152" i="1" a="1"/>
  <c r="P152" i="1" a="1"/>
  <c r="S485" i="1" a="1"/>
  <c r="R485" i="1" a="1"/>
  <c r="R485" i="1" s="1"/>
  <c r="Q485" i="1" a="1"/>
  <c r="P485" i="1" a="1"/>
  <c r="S422" i="1" a="1"/>
  <c r="R422" i="1" a="1"/>
  <c r="R422" i="1" s="1"/>
  <c r="Q422" i="1" a="1"/>
  <c r="P422" i="1" a="1"/>
  <c r="S263" i="1" a="1"/>
  <c r="R263" i="1" a="1"/>
  <c r="R263" i="1" s="1"/>
  <c r="Q263" i="1" a="1"/>
  <c r="P263" i="1" a="1"/>
  <c r="S353" i="1" a="1"/>
  <c r="R353" i="1" a="1"/>
  <c r="R353" i="1" s="1"/>
  <c r="Q353" i="1" a="1"/>
  <c r="P353" i="1" a="1"/>
  <c r="S449" i="1" a="1"/>
  <c r="R449" i="1" a="1"/>
  <c r="R449" i="1" s="1"/>
  <c r="Q449" i="1" a="1"/>
  <c r="P449" i="1" a="1"/>
  <c r="S285" i="1" a="1"/>
  <c r="R285" i="1" a="1"/>
  <c r="R285" i="1" s="1"/>
  <c r="Q285" i="1" a="1"/>
  <c r="P285" i="1" a="1"/>
  <c r="S396" i="1" a="1"/>
  <c r="R396" i="1" a="1"/>
  <c r="R396" i="1" s="1"/>
  <c r="Q396" i="1" a="1"/>
  <c r="P396" i="1" a="1"/>
  <c r="S463" i="1" a="1"/>
  <c r="R463" i="1" a="1"/>
  <c r="R463" i="1" s="1"/>
  <c r="Q463" i="1" a="1"/>
  <c r="P463" i="1" a="1"/>
  <c r="S26" i="1" a="1"/>
  <c r="R26" i="1" a="1"/>
  <c r="R26" i="1" s="1"/>
  <c r="Q26" i="1" a="1"/>
  <c r="P26" i="1" a="1"/>
  <c r="S484" i="1" a="1"/>
  <c r="R484" i="1" a="1"/>
  <c r="R484" i="1" s="1"/>
  <c r="Q484" i="1" a="1"/>
  <c r="P484" i="1" a="1"/>
  <c r="S284" i="1" a="1"/>
  <c r="R284" i="1" a="1"/>
  <c r="R284" i="1" s="1"/>
  <c r="Q284" i="1" a="1"/>
  <c r="P284" i="1" a="1"/>
  <c r="S421" i="1" a="1"/>
  <c r="R421" i="1" a="1"/>
  <c r="R421" i="1" s="1"/>
  <c r="Q421" i="1" a="1"/>
  <c r="P421" i="1" a="1"/>
  <c r="S207" i="1" a="1"/>
  <c r="R207" i="1" a="1"/>
  <c r="R207" i="1" s="1"/>
  <c r="Q207" i="1" a="1"/>
  <c r="P207" i="1" a="1"/>
  <c r="S483" i="1" a="1"/>
  <c r="R483" i="1" a="1"/>
  <c r="R483" i="1" s="1"/>
  <c r="Q483" i="1" a="1"/>
  <c r="P483" i="1" a="1"/>
  <c r="S304" i="1" a="1"/>
  <c r="R304" i="1" a="1"/>
  <c r="R304" i="1" s="1"/>
  <c r="Q304" i="1" a="1"/>
  <c r="P304" i="1" a="1"/>
  <c r="S448" i="1" a="1"/>
  <c r="R448" i="1" a="1"/>
  <c r="R448" i="1" s="1"/>
  <c r="Q448" i="1" a="1"/>
  <c r="P448" i="1" a="1"/>
  <c r="S25" i="1" a="1"/>
  <c r="R25" i="1" a="1"/>
  <c r="R25" i="1" s="1"/>
  <c r="Q25" i="1" a="1"/>
  <c r="P25" i="1" a="1"/>
  <c r="S329" i="1" a="1"/>
  <c r="R329" i="1" a="1"/>
  <c r="R329" i="1" s="1"/>
  <c r="Q329" i="1" a="1"/>
  <c r="P329" i="1" a="1"/>
  <c r="S482" i="1" a="1"/>
  <c r="R482" i="1" a="1"/>
  <c r="R482" i="1" s="1"/>
  <c r="Q482" i="1" a="1"/>
  <c r="P482" i="1" a="1"/>
  <c r="S234" i="1" a="1"/>
  <c r="R234" i="1" a="1"/>
  <c r="R234" i="1" s="1"/>
  <c r="Q234" i="1" a="1"/>
  <c r="P234" i="1" a="1"/>
  <c r="S112" i="1" a="1"/>
  <c r="R112" i="1" a="1"/>
  <c r="R112" i="1" s="1"/>
  <c r="Q112" i="1" a="1"/>
  <c r="P112" i="1" a="1"/>
  <c r="S303" i="1" a="1"/>
  <c r="R303" i="1" a="1"/>
  <c r="R303" i="1" s="1"/>
  <c r="Q303" i="1" a="1"/>
  <c r="P303" i="1" a="1"/>
  <c r="S92" i="1" a="1"/>
  <c r="R92" i="1" a="1"/>
  <c r="R92" i="1" s="1"/>
  <c r="Q92" i="1" a="1"/>
  <c r="P92" i="1" a="1"/>
  <c r="S395" i="1" a="1"/>
  <c r="R395" i="1" a="1"/>
  <c r="R395" i="1" s="1"/>
  <c r="Q395" i="1" a="1"/>
  <c r="P395" i="1" a="1"/>
  <c r="S182" i="1" a="1"/>
  <c r="R182" i="1" a="1"/>
  <c r="R182" i="1" s="1"/>
  <c r="Q182" i="1" a="1"/>
  <c r="P182" i="1" a="1"/>
  <c r="S420" i="1" a="1"/>
  <c r="R420" i="1" a="1"/>
  <c r="R420" i="1" s="1"/>
  <c r="Q420" i="1" a="1"/>
  <c r="P420" i="1" a="1"/>
  <c r="S447" i="1" a="1"/>
  <c r="R447" i="1" a="1"/>
  <c r="R447" i="1" s="1"/>
  <c r="Q447" i="1" a="1"/>
  <c r="P447" i="1" a="1"/>
  <c r="S134" i="1" a="1"/>
  <c r="R134" i="1" a="1"/>
  <c r="R134" i="1" s="1"/>
  <c r="Q134" i="1" a="1"/>
  <c r="P134" i="1" a="1"/>
  <c r="S45" i="1" a="1"/>
  <c r="R45" i="1" a="1"/>
  <c r="R45" i="1" s="1"/>
  <c r="Q45" i="1" a="1"/>
  <c r="P45" i="1" a="1"/>
  <c r="S133" i="1" a="1"/>
  <c r="R133" i="1" a="1"/>
  <c r="R133" i="1" s="1"/>
  <c r="Q133" i="1" a="1"/>
  <c r="P133" i="1" a="1"/>
  <c r="S6" i="1" a="1"/>
  <c r="R6" i="1" a="1"/>
  <c r="R6" i="1" s="1"/>
  <c r="Q6" i="1" a="1"/>
  <c r="P6" i="1" a="1"/>
  <c r="S151" i="1" a="1"/>
  <c r="R151" i="1" a="1"/>
  <c r="R151" i="1" s="1"/>
  <c r="Q151" i="1" a="1"/>
  <c r="P151" i="1" a="1"/>
  <c r="S419" i="1" a="1"/>
  <c r="R419" i="1" a="1"/>
  <c r="R419" i="1" s="1"/>
  <c r="Q419" i="1" a="1"/>
  <c r="P419" i="1" a="1"/>
  <c r="S262" i="1" a="1"/>
  <c r="R262" i="1" a="1"/>
  <c r="R262" i="1" s="1"/>
  <c r="Q262" i="1" a="1"/>
  <c r="P262" i="1" a="1"/>
  <c r="S206" i="1" a="1"/>
  <c r="R206" i="1" a="1"/>
  <c r="R206" i="1" s="1"/>
  <c r="Q206" i="1" a="1"/>
  <c r="P206" i="1" a="1"/>
  <c r="S63" i="1" a="1"/>
  <c r="R63" i="1" a="1"/>
  <c r="R63" i="1" s="1"/>
  <c r="Q63" i="1" a="1"/>
  <c r="P63" i="1" a="1"/>
  <c r="S44" i="1" a="1"/>
  <c r="R44" i="1" a="1"/>
  <c r="R44" i="1" s="1"/>
  <c r="Q44" i="1" a="1"/>
  <c r="P44" i="1" a="1"/>
  <c r="S5" i="1" a="1"/>
  <c r="R5" i="1" a="1"/>
  <c r="R5" i="1" s="1"/>
  <c r="Q5" i="1" a="1"/>
  <c r="P5" i="1" a="1"/>
  <c r="S111" i="1" a="1"/>
  <c r="R111" i="1" a="1"/>
  <c r="R111" i="1" s="1"/>
  <c r="Q111" i="1" a="1"/>
  <c r="P111" i="1" a="1"/>
  <c r="S150" i="1" a="1"/>
  <c r="R150" i="1" a="1"/>
  <c r="R150" i="1" s="1"/>
  <c r="Q150" i="1" a="1"/>
  <c r="P150" i="1" a="1"/>
  <c r="S205" i="1" a="1"/>
  <c r="R205" i="1" a="1"/>
  <c r="R205" i="1" s="1"/>
  <c r="Q205" i="1" a="1"/>
  <c r="P205" i="1" a="1"/>
  <c r="S181" i="1" a="1"/>
  <c r="R181" i="1" a="1"/>
  <c r="R181" i="1" s="1"/>
  <c r="Q181" i="1" a="1"/>
  <c r="P181" i="1" a="1"/>
  <c r="S4" i="1" a="1"/>
  <c r="R4" i="1" a="1"/>
  <c r="R4" i="1" s="1"/>
  <c r="Q4" i="1" a="1"/>
  <c r="P4" i="1" a="1"/>
  <c r="S149" i="1" a="1"/>
  <c r="R149" i="1" a="1"/>
  <c r="R149" i="1" s="1"/>
  <c r="Q149" i="1" a="1"/>
  <c r="P149" i="1" a="1"/>
  <c r="S78" i="1" a="1"/>
  <c r="R78" i="1" a="1"/>
  <c r="R78" i="1" s="1"/>
  <c r="Q78" i="1" a="1"/>
  <c r="P78" i="1" a="1"/>
  <c r="S435" i="1" a="1"/>
  <c r="R435" i="1" a="1"/>
  <c r="R435" i="1" s="1"/>
  <c r="Q435" i="1" a="1"/>
  <c r="P435" i="1" a="1"/>
  <c r="S3" i="1" a="1"/>
  <c r="R3" i="1" a="1"/>
  <c r="R3" i="1" s="1"/>
  <c r="Q3" i="1" a="1"/>
  <c r="P3" i="1" a="1"/>
  <c r="S148" i="1" a="1"/>
  <c r="R148" i="1" a="1"/>
  <c r="R148" i="1" s="1"/>
  <c r="Q148" i="1" a="1"/>
  <c r="P148" i="1" a="1"/>
  <c r="S373" i="1" a="1"/>
  <c r="R373" i="1" a="1"/>
  <c r="R373" i="1" s="1"/>
  <c r="Q373" i="1" a="1"/>
  <c r="P373" i="1" a="1"/>
  <c r="S132" i="1" a="1"/>
  <c r="R132" i="1" a="1"/>
  <c r="R132" i="1" s="1"/>
  <c r="Q132" i="1" a="1"/>
  <c r="P132" i="1" a="1"/>
  <c r="S110" i="1" a="1"/>
  <c r="R110" i="1" a="1"/>
  <c r="R110" i="1" s="1"/>
  <c r="Q110" i="1" a="1"/>
  <c r="P110" i="1" a="1"/>
  <c r="S418" i="1" a="1"/>
  <c r="R418" i="1" a="1"/>
  <c r="R418" i="1" s="1"/>
  <c r="Q418" i="1" a="1"/>
  <c r="P418" i="1" a="1"/>
  <c r="S394" i="1" a="1"/>
  <c r="R394" i="1" a="1"/>
  <c r="R394" i="1" s="1"/>
  <c r="Q394" i="1" a="1"/>
  <c r="P394" i="1" a="1"/>
  <c r="S328" i="1" a="1"/>
  <c r="R328" i="1" a="1"/>
  <c r="R328" i="1" s="1"/>
  <c r="Q328" i="1" a="1"/>
  <c r="P328" i="1" a="1"/>
  <c r="S372" i="1" a="1"/>
  <c r="R372" i="1" a="1"/>
  <c r="R372" i="1" s="1"/>
  <c r="Q372" i="1" a="1"/>
  <c r="P372" i="1" a="1"/>
  <c r="S109" i="1" a="1"/>
  <c r="R109" i="1" a="1"/>
  <c r="R109" i="1" s="1"/>
  <c r="Q109" i="1" a="1"/>
  <c r="P109" i="1" a="1"/>
  <c r="S283" i="1" a="1"/>
  <c r="R283" i="1" a="1"/>
  <c r="R283" i="1" s="1"/>
  <c r="Q283" i="1" a="1"/>
  <c r="P283" i="1" a="1"/>
  <c r="S43" i="1" a="1"/>
  <c r="R43" i="1" a="1"/>
  <c r="R43" i="1" s="1"/>
  <c r="Q43" i="1" a="1"/>
  <c r="P43" i="1" a="1"/>
  <c r="S462" i="1" a="1"/>
  <c r="R462" i="1" a="1"/>
  <c r="R462" i="1" s="1"/>
  <c r="Q462" i="1" a="1"/>
  <c r="P462" i="1" a="1"/>
  <c r="S204" i="1" a="1"/>
  <c r="R204" i="1" a="1"/>
  <c r="R204" i="1" s="1"/>
  <c r="Q204" i="1" a="1"/>
  <c r="P204" i="1" a="1"/>
  <c r="S393" i="1" a="1"/>
  <c r="R393" i="1" a="1"/>
  <c r="R393" i="1" s="1"/>
  <c r="Q393" i="1" a="1"/>
  <c r="P393" i="1" a="1"/>
  <c r="S24" i="1" a="1"/>
  <c r="R24" i="1" a="1"/>
  <c r="R24" i="1" s="1"/>
  <c r="Q24" i="1" a="1"/>
  <c r="P24" i="1" a="1"/>
  <c r="S147" i="1" a="1"/>
  <c r="R147" i="1" a="1"/>
  <c r="R147" i="1" s="1"/>
  <c r="Q147" i="1" a="1"/>
  <c r="P147" i="1" a="1"/>
  <c r="S282" i="1" a="1"/>
  <c r="R282" i="1" a="1"/>
  <c r="R282" i="1" s="1"/>
  <c r="Q282" i="1" a="1"/>
  <c r="P282" i="1" a="1"/>
  <c r="S417" i="1" a="1"/>
  <c r="R417" i="1" a="1"/>
  <c r="R417" i="1" s="1"/>
  <c r="Q417" i="1" a="1"/>
  <c r="P417" i="1" a="1"/>
  <c r="S281" i="1" a="1"/>
  <c r="R281" i="1" a="1"/>
  <c r="R281" i="1" s="1"/>
  <c r="Q281" i="1" a="1"/>
  <c r="P281" i="1" a="1"/>
  <c r="S108" i="1" a="1"/>
  <c r="R108" i="1" a="1"/>
  <c r="R108" i="1" s="1"/>
  <c r="Q108" i="1" a="1"/>
  <c r="P108" i="1" a="1"/>
  <c r="S371" i="1" a="1"/>
  <c r="R371" i="1" a="1"/>
  <c r="R371" i="1" s="1"/>
  <c r="Q371" i="1" a="1"/>
  <c r="P371" i="1" a="1"/>
  <c r="S91" i="1" a="1"/>
  <c r="R91" i="1" a="1"/>
  <c r="R91" i="1" s="1"/>
  <c r="Q91" i="1" a="1"/>
  <c r="P91" i="1" a="1"/>
  <c r="S261" i="1" a="1"/>
  <c r="R261" i="1" a="1"/>
  <c r="R261" i="1" s="1"/>
  <c r="Q261" i="1" a="1"/>
  <c r="P261" i="1" a="1"/>
  <c r="S23" i="1" a="1"/>
  <c r="R23" i="1" a="1"/>
  <c r="R23" i="1" s="1"/>
  <c r="Q23" i="1" a="1"/>
  <c r="P23" i="1" a="1"/>
  <c r="S327" i="1" a="1"/>
  <c r="R327" i="1" a="1"/>
  <c r="R327" i="1" s="1"/>
  <c r="Q327" i="1" a="1"/>
  <c r="P327" i="1" a="1"/>
  <c r="S2" i="1" a="1"/>
  <c r="R2" i="1" a="1"/>
  <c r="R2" i="1" s="1"/>
  <c r="Q2" i="1" a="1"/>
  <c r="R280" i="1" a="1"/>
  <c r="R280" i="1" s="1"/>
  <c r="P380" i="1" l="1"/>
  <c r="Q380" i="1"/>
  <c r="S380" i="1"/>
  <c r="P208" i="1"/>
  <c r="S208" i="1"/>
  <c r="Q208" i="1"/>
  <c r="Q54" i="1"/>
  <c r="S54" i="1"/>
  <c r="P54" i="1"/>
  <c r="Q406" i="1"/>
  <c r="S406" i="1"/>
  <c r="P406" i="1"/>
  <c r="Q89" i="1"/>
  <c r="S89" i="1"/>
  <c r="P89" i="1"/>
  <c r="S200" i="1"/>
  <c r="Q200" i="1"/>
  <c r="P200" i="1"/>
  <c r="S151" i="1"/>
  <c r="P151" i="1"/>
  <c r="Q151" i="1"/>
  <c r="S266" i="1"/>
  <c r="P266" i="1"/>
  <c r="Q266" i="1"/>
  <c r="P174" i="1"/>
  <c r="Q174" i="1"/>
  <c r="S174" i="1"/>
  <c r="P472" i="1"/>
  <c r="Q472" i="1"/>
  <c r="S472" i="1"/>
  <c r="S369" i="1"/>
  <c r="P369" i="1"/>
  <c r="Q369" i="1"/>
  <c r="S295" i="1"/>
  <c r="P295" i="1"/>
  <c r="Q295" i="1"/>
  <c r="S353" i="1"/>
  <c r="P353" i="1"/>
  <c r="Q353" i="1"/>
  <c r="P228" i="1"/>
  <c r="S228" i="1"/>
  <c r="Q228" i="1"/>
  <c r="P36" i="1"/>
  <c r="Q36" i="1"/>
  <c r="S36" i="1"/>
  <c r="Q240" i="1"/>
  <c r="S240" i="1"/>
  <c r="P240" i="1"/>
  <c r="S227" i="1"/>
  <c r="P227" i="1"/>
  <c r="Q227" i="1"/>
  <c r="Q480" i="1"/>
  <c r="S480" i="1"/>
  <c r="P480" i="1"/>
  <c r="S425" i="1"/>
  <c r="P425" i="1"/>
  <c r="Q425" i="1"/>
  <c r="P155" i="1"/>
  <c r="Q155" i="1"/>
  <c r="S155" i="1"/>
  <c r="P402" i="1"/>
  <c r="Q402" i="1"/>
  <c r="S402" i="1"/>
  <c r="P94" i="1"/>
  <c r="S94" i="1"/>
  <c r="Q94" i="1"/>
  <c r="S152" i="1"/>
  <c r="Q152" i="1"/>
  <c r="P152" i="1"/>
  <c r="S405" i="1"/>
  <c r="Q405" i="1"/>
  <c r="P405" i="1"/>
  <c r="P248" i="1"/>
  <c r="Q248" i="1"/>
  <c r="S248" i="1"/>
  <c r="S463" i="1"/>
  <c r="Q463" i="1"/>
  <c r="P463" i="1"/>
  <c r="Q33" i="1"/>
  <c r="S33" i="1"/>
  <c r="P33" i="1"/>
  <c r="Q498" i="1"/>
  <c r="S498" i="1"/>
  <c r="P498" i="1"/>
  <c r="P476" i="1"/>
  <c r="Q476" i="1"/>
  <c r="S476" i="1"/>
  <c r="Q349" i="1"/>
  <c r="P349" i="1"/>
  <c r="S349" i="1"/>
  <c r="P116" i="1"/>
  <c r="S116" i="1"/>
  <c r="Q116" i="1"/>
  <c r="P146" i="1"/>
  <c r="Q146" i="1"/>
  <c r="S146" i="1"/>
  <c r="P207" i="1"/>
  <c r="Q207" i="1"/>
  <c r="S207" i="1"/>
  <c r="S113" i="1"/>
  <c r="Q113" i="1"/>
  <c r="P113" i="1"/>
  <c r="S86" i="1"/>
  <c r="P86" i="1"/>
  <c r="Q86" i="1"/>
  <c r="P374" i="1"/>
  <c r="Q374" i="1"/>
  <c r="S374" i="1"/>
  <c r="Q184" i="1"/>
  <c r="S184" i="1"/>
  <c r="P184" i="1"/>
  <c r="P442" i="1"/>
  <c r="S442" i="1"/>
  <c r="Q442" i="1"/>
  <c r="P328" i="1"/>
  <c r="S328" i="1"/>
  <c r="Q328" i="1"/>
  <c r="Q204" i="1"/>
  <c r="P204" i="1"/>
  <c r="S204" i="1"/>
  <c r="Q449" i="1"/>
  <c r="S449" i="1"/>
  <c r="P449" i="1"/>
  <c r="Q322" i="1"/>
  <c r="P322" i="1"/>
  <c r="S322" i="1"/>
  <c r="S348" i="1"/>
  <c r="Q348" i="1"/>
  <c r="P348" i="1"/>
  <c r="P112" i="1"/>
  <c r="Q112" i="1"/>
  <c r="S112" i="1"/>
  <c r="P340" i="1"/>
  <c r="Q340" i="1"/>
  <c r="S340" i="1"/>
  <c r="P91" i="1"/>
  <c r="S91" i="1"/>
  <c r="Q91" i="1"/>
  <c r="S191" i="1"/>
  <c r="P191" i="1"/>
  <c r="Q191" i="1"/>
  <c r="S34" i="1"/>
  <c r="Q34" i="1"/>
  <c r="P34" i="1"/>
  <c r="P422" i="1"/>
  <c r="S422" i="1"/>
  <c r="Q422" i="1"/>
  <c r="Q23" i="1"/>
  <c r="S23" i="1"/>
  <c r="P23" i="1"/>
  <c r="P137" i="1"/>
  <c r="Q137" i="1"/>
  <c r="S137" i="1"/>
  <c r="Q110" i="1"/>
  <c r="P110" i="1"/>
  <c r="S110" i="1"/>
  <c r="P392" i="1"/>
  <c r="Q392" i="1"/>
  <c r="S392" i="1"/>
  <c r="P140" i="1"/>
  <c r="Q140" i="1"/>
  <c r="S140" i="1"/>
  <c r="S190" i="1"/>
  <c r="P190" i="1"/>
  <c r="Q190" i="1"/>
  <c r="Q41" i="1"/>
  <c r="S41" i="1"/>
  <c r="P41" i="1"/>
  <c r="S48" i="1"/>
  <c r="P48" i="1"/>
  <c r="Q48" i="1"/>
  <c r="Q222" i="1"/>
  <c r="P222" i="1"/>
  <c r="S222" i="1"/>
  <c r="P129" i="1"/>
  <c r="Q129" i="1"/>
  <c r="S129" i="1"/>
  <c r="P120" i="1"/>
  <c r="Q120" i="1"/>
  <c r="S120" i="1"/>
  <c r="S69" i="1"/>
  <c r="P69" i="1"/>
  <c r="Q69" i="1"/>
  <c r="S37" i="1"/>
  <c r="P37" i="1"/>
  <c r="Q37" i="1"/>
  <c r="Q243" i="1"/>
  <c r="P243" i="1"/>
  <c r="S243" i="1"/>
  <c r="P214" i="1"/>
  <c r="S214" i="1"/>
  <c r="Q214" i="1"/>
  <c r="Q435" i="1"/>
  <c r="S435" i="1"/>
  <c r="P435" i="1"/>
  <c r="P245" i="1"/>
  <c r="S245" i="1"/>
  <c r="Q245" i="1"/>
  <c r="P181" i="1"/>
  <c r="S181" i="1"/>
  <c r="Q181" i="1"/>
  <c r="S454" i="1"/>
  <c r="P454" i="1"/>
  <c r="Q454" i="1"/>
  <c r="S73" i="1"/>
  <c r="Q73" i="1"/>
  <c r="P73" i="1"/>
  <c r="S162" i="1"/>
  <c r="P162" i="1"/>
  <c r="Q162" i="1"/>
  <c r="Q371" i="1"/>
  <c r="S371" i="1"/>
  <c r="P371" i="1"/>
  <c r="S93" i="1"/>
  <c r="P93" i="1"/>
  <c r="Q93" i="1"/>
  <c r="P318" i="1"/>
  <c r="S318" i="1"/>
  <c r="Q318" i="1"/>
  <c r="P161" i="1"/>
  <c r="S161" i="1"/>
  <c r="Q161" i="1"/>
  <c r="P300" i="1"/>
  <c r="S300" i="1"/>
  <c r="Q300" i="1"/>
  <c r="Q147" i="1"/>
  <c r="S147" i="1"/>
  <c r="P147" i="1"/>
  <c r="Q288" i="1"/>
  <c r="S288" i="1"/>
  <c r="P288" i="1"/>
  <c r="S382" i="1"/>
  <c r="P382" i="1"/>
  <c r="Q382" i="1"/>
  <c r="P334" i="1"/>
  <c r="S334" i="1"/>
  <c r="Q334" i="1"/>
  <c r="S456" i="1"/>
  <c r="Q456" i="1"/>
  <c r="P456" i="1"/>
  <c r="Q263" i="1"/>
  <c r="S263" i="1"/>
  <c r="P263" i="1"/>
  <c r="Q40" i="1"/>
  <c r="P40" i="1"/>
  <c r="S40" i="1"/>
  <c r="S269" i="1"/>
  <c r="Q269" i="1"/>
  <c r="P269" i="1"/>
  <c r="S294" i="1"/>
  <c r="P294" i="1"/>
  <c r="Q294" i="1"/>
  <c r="P249" i="1"/>
  <c r="Q249" i="1"/>
  <c r="S249" i="1"/>
  <c r="P342" i="1"/>
  <c r="Q342" i="1"/>
  <c r="S342" i="1"/>
  <c r="Q465" i="1"/>
  <c r="S465" i="1"/>
  <c r="P465" i="1"/>
  <c r="S346" i="1"/>
  <c r="P346" i="1"/>
  <c r="Q346" i="1"/>
  <c r="S366" i="1"/>
  <c r="P366" i="1"/>
  <c r="Q366" i="1"/>
  <c r="S84" i="1"/>
  <c r="Q84" i="1"/>
  <c r="P84" i="1"/>
  <c r="S153" i="1"/>
  <c r="Q153" i="1"/>
  <c r="P153" i="1"/>
  <c r="P192" i="1"/>
  <c r="Q192" i="1"/>
  <c r="S192" i="1"/>
  <c r="S213" i="1"/>
  <c r="P213" i="1"/>
  <c r="Q213" i="1"/>
  <c r="S360" i="1"/>
  <c r="Q360" i="1"/>
  <c r="P360" i="1"/>
  <c r="P21" i="1"/>
  <c r="Q21" i="1"/>
  <c r="S21" i="1"/>
  <c r="S122" i="1"/>
  <c r="P122" i="1"/>
  <c r="Q122" i="1"/>
  <c r="S459" i="1"/>
  <c r="Q459" i="1"/>
  <c r="P459" i="1"/>
  <c r="Q492" i="1"/>
  <c r="S492" i="1"/>
  <c r="P492" i="1"/>
  <c r="S66" i="1"/>
  <c r="Q66" i="1"/>
  <c r="P66" i="1"/>
  <c r="Q306" i="1"/>
  <c r="P306" i="1"/>
  <c r="S306" i="1"/>
  <c r="Q246" i="1"/>
  <c r="P246" i="1"/>
  <c r="S246" i="1"/>
  <c r="S39" i="1"/>
  <c r="P39" i="1"/>
  <c r="Q39" i="1"/>
  <c r="P453" i="1"/>
  <c r="S453" i="1"/>
  <c r="Q453" i="1"/>
  <c r="Q439" i="1"/>
  <c r="S439" i="1"/>
  <c r="P439" i="1"/>
  <c r="P231" i="1"/>
  <c r="S231" i="1"/>
  <c r="Q231" i="1"/>
  <c r="P393" i="1"/>
  <c r="S393" i="1"/>
  <c r="Q393" i="1"/>
  <c r="P167" i="1"/>
  <c r="S167" i="1"/>
  <c r="Q167" i="1"/>
  <c r="P319" i="1"/>
  <c r="S319" i="1"/>
  <c r="Q319" i="1"/>
  <c r="P27" i="1"/>
  <c r="S27" i="1"/>
  <c r="Q27" i="1"/>
  <c r="P141" i="1"/>
  <c r="Q141" i="1"/>
  <c r="S141" i="1"/>
  <c r="S65" i="1"/>
  <c r="Q65" i="1"/>
  <c r="P65" i="1"/>
  <c r="P18" i="1"/>
  <c r="Q18" i="1"/>
  <c r="S18" i="1"/>
  <c r="Q118" i="1"/>
  <c r="S118" i="1"/>
  <c r="P118" i="1"/>
  <c r="P59" i="1"/>
  <c r="S59" i="1"/>
  <c r="Q59" i="1"/>
  <c r="Q44" i="1"/>
  <c r="S44" i="1"/>
  <c r="P44" i="1"/>
  <c r="Q313" i="1"/>
  <c r="S313" i="1"/>
  <c r="P313" i="1"/>
  <c r="Q92" i="1"/>
  <c r="S92" i="1"/>
  <c r="P92" i="1"/>
  <c r="Q87" i="1"/>
  <c r="S87" i="1"/>
  <c r="P87" i="1"/>
  <c r="P497" i="1"/>
  <c r="S497" i="1"/>
  <c r="Q497" i="1"/>
  <c r="Q70" i="1"/>
  <c r="P70" i="1"/>
  <c r="S70" i="1"/>
  <c r="P211" i="1"/>
  <c r="S211" i="1"/>
  <c r="Q211" i="1"/>
  <c r="Q111" i="1"/>
  <c r="S111" i="1"/>
  <c r="P111" i="1"/>
  <c r="Q284" i="1"/>
  <c r="P284" i="1"/>
  <c r="S284" i="1"/>
  <c r="P10" i="1"/>
  <c r="S10" i="1"/>
  <c r="Q10" i="1"/>
  <c r="S303" i="1"/>
  <c r="P303" i="1"/>
  <c r="Q303" i="1"/>
  <c r="S130" i="1"/>
  <c r="P130" i="1"/>
  <c r="Q130" i="1"/>
  <c r="S341" i="1"/>
  <c r="P341" i="1"/>
  <c r="Q341" i="1"/>
  <c r="P290" i="1"/>
  <c r="Q290" i="1"/>
  <c r="S290" i="1"/>
  <c r="Q88" i="1"/>
  <c r="P88" i="1"/>
  <c r="S88" i="1"/>
  <c r="P362" i="1"/>
  <c r="S362" i="1"/>
  <c r="Q362" i="1"/>
  <c r="S400" i="1"/>
  <c r="P400" i="1"/>
  <c r="Q400" i="1"/>
  <c r="S394" i="1"/>
  <c r="P394" i="1"/>
  <c r="Q394" i="1"/>
  <c r="Q219" i="1"/>
  <c r="P219" i="1"/>
  <c r="S219" i="1"/>
  <c r="S278" i="1"/>
  <c r="Q278" i="1"/>
  <c r="P278" i="1"/>
  <c r="P345" i="1"/>
  <c r="Q345" i="1"/>
  <c r="S345" i="1"/>
  <c r="Q221" i="1"/>
  <c r="P221" i="1"/>
  <c r="S221" i="1"/>
  <c r="Q247" i="1"/>
  <c r="S247" i="1"/>
  <c r="P247" i="1"/>
  <c r="S212" i="1"/>
  <c r="Q212" i="1"/>
  <c r="P212" i="1"/>
  <c r="Q106" i="1"/>
  <c r="P106" i="1"/>
  <c r="S106" i="1"/>
  <c r="P485" i="1"/>
  <c r="Q485" i="1"/>
  <c r="S485" i="1"/>
  <c r="S96" i="1"/>
  <c r="Q96" i="1"/>
  <c r="P96" i="1"/>
  <c r="Q76" i="1"/>
  <c r="S76" i="1"/>
  <c r="P76" i="1"/>
  <c r="Q466" i="1"/>
  <c r="S466" i="1"/>
  <c r="P466" i="1"/>
  <c r="P35" i="1"/>
  <c r="Q35" i="1"/>
  <c r="S35" i="1"/>
  <c r="Q261" i="1"/>
  <c r="S261" i="1"/>
  <c r="P261" i="1"/>
  <c r="S115" i="1"/>
  <c r="Q115" i="1"/>
  <c r="P115" i="1"/>
  <c r="P220" i="1"/>
  <c r="S220" i="1"/>
  <c r="Q220" i="1"/>
  <c r="Q132" i="1"/>
  <c r="S132" i="1"/>
  <c r="P132" i="1"/>
  <c r="Q356" i="1"/>
  <c r="S356" i="1"/>
  <c r="P356" i="1"/>
  <c r="P493" i="1"/>
  <c r="S493" i="1"/>
  <c r="Q493" i="1"/>
  <c r="Q119" i="1"/>
  <c r="P119" i="1"/>
  <c r="S119" i="1"/>
  <c r="Q267" i="1"/>
  <c r="S267" i="1"/>
  <c r="P267" i="1"/>
  <c r="P417" i="1"/>
  <c r="Q417" i="1"/>
  <c r="S417" i="1"/>
  <c r="Q189" i="1"/>
  <c r="S189" i="1"/>
  <c r="P189" i="1"/>
  <c r="S7" i="1"/>
  <c r="P7" i="1"/>
  <c r="Q7" i="1"/>
  <c r="S32" i="1"/>
  <c r="Q32" i="1"/>
  <c r="P32" i="1"/>
  <c r="P410" i="1"/>
  <c r="S410" i="1"/>
  <c r="Q410" i="1"/>
  <c r="P62" i="1"/>
  <c r="S62" i="1"/>
  <c r="Q62" i="1"/>
  <c r="S286" i="1"/>
  <c r="P286" i="1"/>
  <c r="Q286" i="1"/>
  <c r="S430" i="1"/>
  <c r="P430" i="1"/>
  <c r="Q430" i="1"/>
  <c r="S441" i="1"/>
  <c r="P441" i="1"/>
  <c r="Q441" i="1"/>
  <c r="S329" i="1"/>
  <c r="P329" i="1"/>
  <c r="Q329" i="1"/>
  <c r="P160" i="1"/>
  <c r="S160" i="1"/>
  <c r="Q160" i="1"/>
  <c r="Q483" i="1"/>
  <c r="S483" i="1"/>
  <c r="P483" i="1"/>
  <c r="P372" i="1"/>
  <c r="Q372" i="1"/>
  <c r="S372" i="1"/>
  <c r="Q404" i="1"/>
  <c r="P404" i="1"/>
  <c r="S404" i="1"/>
  <c r="P67" i="1"/>
  <c r="Q67" i="1"/>
  <c r="S67" i="1"/>
  <c r="P475" i="1"/>
  <c r="Q475" i="1"/>
  <c r="S475" i="1"/>
  <c r="Q6" i="1"/>
  <c r="S6" i="1"/>
  <c r="P6" i="1"/>
  <c r="P473" i="1"/>
  <c r="Q473" i="1"/>
  <c r="S473" i="1"/>
  <c r="Q496" i="1"/>
  <c r="S496" i="1"/>
  <c r="P496" i="1"/>
  <c r="S203" i="1"/>
  <c r="P203" i="1"/>
  <c r="Q203" i="1"/>
  <c r="P352" i="1"/>
  <c r="Q352" i="1"/>
  <c r="S352" i="1"/>
  <c r="S45" i="1"/>
  <c r="Q45" i="1"/>
  <c r="P45" i="1"/>
  <c r="P68" i="1"/>
  <c r="Q68" i="1"/>
  <c r="S68" i="1"/>
  <c r="P361" i="1"/>
  <c r="Q361" i="1"/>
  <c r="S361" i="1"/>
  <c r="Q339" i="1"/>
  <c r="P339" i="1"/>
  <c r="S339" i="1"/>
  <c r="S196" i="1"/>
  <c r="Q196" i="1"/>
  <c r="P196" i="1"/>
  <c r="Q13" i="1"/>
  <c r="P13" i="1"/>
  <c r="S13" i="1"/>
  <c r="Q230" i="1"/>
  <c r="S230" i="1"/>
  <c r="P230" i="1"/>
  <c r="Q38" i="1"/>
  <c r="P38" i="1"/>
  <c r="S38" i="1"/>
  <c r="P125" i="1"/>
  <c r="Q125" i="1"/>
  <c r="S125" i="1"/>
  <c r="S383" i="1"/>
  <c r="Q383" i="1"/>
  <c r="P383" i="1"/>
  <c r="S396" i="1"/>
  <c r="P396" i="1"/>
  <c r="Q396" i="1"/>
  <c r="P197" i="1"/>
  <c r="Q197" i="1"/>
  <c r="S197" i="1"/>
  <c r="P225" i="1"/>
  <c r="Q225" i="1"/>
  <c r="S225" i="1"/>
  <c r="Q97" i="1"/>
  <c r="P97" i="1"/>
  <c r="S97" i="1"/>
  <c r="P458" i="1"/>
  <c r="Q458" i="1"/>
  <c r="S458" i="1"/>
  <c r="Q397" i="1"/>
  <c r="S397" i="1"/>
  <c r="P397" i="1"/>
  <c r="P350" i="1"/>
  <c r="S350" i="1"/>
  <c r="Q350" i="1"/>
  <c r="P499" i="1"/>
  <c r="S499" i="1"/>
  <c r="Q499" i="1"/>
  <c r="P315" i="1"/>
  <c r="S315" i="1"/>
  <c r="Q315" i="1"/>
  <c r="P205" i="1"/>
  <c r="Q205" i="1"/>
  <c r="S205" i="1"/>
  <c r="Q226" i="1"/>
  <c r="S226" i="1"/>
  <c r="P226" i="1"/>
  <c r="Q224" i="1"/>
  <c r="P224" i="1"/>
  <c r="S224" i="1"/>
  <c r="S338" i="1"/>
  <c r="Q338" i="1"/>
  <c r="P338" i="1"/>
  <c r="S30" i="1"/>
  <c r="Q30" i="1"/>
  <c r="P30" i="1"/>
  <c r="P264" i="1"/>
  <c r="S264" i="1"/>
  <c r="Q264" i="1"/>
  <c r="S415" i="1"/>
  <c r="Q415" i="1"/>
  <c r="P415" i="1"/>
  <c r="Q268" i="1"/>
  <c r="S268" i="1"/>
  <c r="P268" i="1"/>
  <c r="Q445" i="1"/>
  <c r="S445" i="1"/>
  <c r="P445" i="1"/>
  <c r="S344" i="1"/>
  <c r="P344" i="1"/>
  <c r="Q344" i="1"/>
  <c r="Q217" i="1"/>
  <c r="S217" i="1"/>
  <c r="P217" i="1"/>
  <c r="Q272" i="1"/>
  <c r="P272" i="1"/>
  <c r="S272" i="1"/>
  <c r="P291" i="1"/>
  <c r="Q291" i="1"/>
  <c r="S291" i="1"/>
  <c r="S176" i="1"/>
  <c r="P176" i="1"/>
  <c r="Q176" i="1"/>
  <c r="S180" i="1"/>
  <c r="P180" i="1"/>
  <c r="Q180" i="1"/>
  <c r="P308" i="1"/>
  <c r="S308" i="1"/>
  <c r="Q308" i="1"/>
  <c r="S265" i="1"/>
  <c r="P265" i="1"/>
  <c r="Q265" i="1"/>
  <c r="Q370" i="1"/>
  <c r="P370" i="1"/>
  <c r="S370" i="1"/>
  <c r="S467" i="1"/>
  <c r="P467" i="1"/>
  <c r="Q467" i="1"/>
  <c r="P279" i="1"/>
  <c r="S279" i="1"/>
  <c r="Q279" i="1"/>
  <c r="S364" i="1"/>
  <c r="Q364" i="1"/>
  <c r="P364" i="1"/>
  <c r="S209" i="1"/>
  <c r="P209" i="1"/>
  <c r="Q209" i="1"/>
  <c r="P81" i="1"/>
  <c r="S81" i="1"/>
  <c r="Q81" i="1"/>
  <c r="P423" i="1"/>
  <c r="Q423" i="1"/>
  <c r="S423" i="1"/>
  <c r="P186" i="1"/>
  <c r="S186" i="1"/>
  <c r="Q186" i="1"/>
  <c r="S12" i="1"/>
  <c r="P12" i="1"/>
  <c r="Q12" i="1"/>
  <c r="P95" i="1"/>
  <c r="S95" i="1"/>
  <c r="Q95" i="1"/>
  <c r="S195" i="1"/>
  <c r="Q195" i="1"/>
  <c r="P195" i="1"/>
  <c r="S148" i="1"/>
  <c r="P148" i="1"/>
  <c r="Q148" i="1"/>
  <c r="P384" i="1"/>
  <c r="Q384" i="1"/>
  <c r="S384" i="1"/>
  <c r="Q418" i="1"/>
  <c r="S418" i="1"/>
  <c r="P418" i="1"/>
  <c r="S215" i="1"/>
  <c r="Q215" i="1"/>
  <c r="P215" i="1"/>
  <c r="S433" i="1"/>
  <c r="P433" i="1"/>
  <c r="Q433" i="1"/>
  <c r="S107" i="1"/>
  <c r="P107" i="1"/>
  <c r="Q107" i="1"/>
  <c r="P121" i="1"/>
  <c r="S121" i="1"/>
  <c r="Q121" i="1"/>
  <c r="S198" i="1"/>
  <c r="P198" i="1"/>
  <c r="Q198" i="1"/>
  <c r="P297" i="1"/>
  <c r="Q297" i="1"/>
  <c r="S297" i="1"/>
  <c r="P138" i="1"/>
  <c r="S138" i="1"/>
  <c r="Q138" i="1"/>
  <c r="P251" i="1"/>
  <c r="S251" i="1"/>
  <c r="Q251" i="1"/>
  <c r="Q223" i="1"/>
  <c r="S223" i="1"/>
  <c r="P223" i="1"/>
  <c r="P256" i="1"/>
  <c r="Q256" i="1"/>
  <c r="S256" i="1"/>
  <c r="S358" i="1"/>
  <c r="Q358" i="1"/>
  <c r="P358" i="1"/>
  <c r="Q150" i="1"/>
  <c r="P150" i="1"/>
  <c r="S150" i="1"/>
  <c r="Q464" i="1"/>
  <c r="P464" i="1"/>
  <c r="S464" i="1"/>
  <c r="Q317" i="1"/>
  <c r="P317" i="1"/>
  <c r="S317" i="1"/>
  <c r="S49" i="1"/>
  <c r="Q49" i="1"/>
  <c r="P49" i="1"/>
  <c r="Q488" i="1"/>
  <c r="P488" i="1"/>
  <c r="S488" i="1"/>
  <c r="S236" i="1"/>
  <c r="Q236" i="1"/>
  <c r="P236" i="1"/>
  <c r="P253" i="1"/>
  <c r="S253" i="1"/>
  <c r="Q253" i="1"/>
  <c r="P85" i="1"/>
  <c r="Q85" i="1"/>
  <c r="S85" i="1"/>
  <c r="Q165" i="1"/>
  <c r="S165" i="1"/>
  <c r="P165" i="1"/>
  <c r="Q170" i="1"/>
  <c r="P170" i="1"/>
  <c r="S170" i="1"/>
  <c r="Q299" i="1"/>
  <c r="S299" i="1"/>
  <c r="P299" i="1"/>
  <c r="S164" i="1"/>
  <c r="Q164" i="1"/>
  <c r="P164" i="1"/>
  <c r="S144" i="1"/>
  <c r="Q144" i="1"/>
  <c r="P144" i="1"/>
  <c r="Q494" i="1"/>
  <c r="P494" i="1"/>
  <c r="S494" i="1"/>
  <c r="P277" i="1"/>
  <c r="Q277" i="1"/>
  <c r="S277" i="1"/>
  <c r="S234" i="1"/>
  <c r="Q234" i="1"/>
  <c r="P234" i="1"/>
  <c r="Q469" i="1"/>
  <c r="S469" i="1"/>
  <c r="P469" i="1"/>
  <c r="S254" i="1"/>
  <c r="P254" i="1"/>
  <c r="Q254" i="1"/>
  <c r="Q178" i="1"/>
  <c r="P178" i="1"/>
  <c r="S178" i="1"/>
  <c r="P271" i="1"/>
  <c r="S271" i="1"/>
  <c r="Q271" i="1"/>
  <c r="Q298" i="1"/>
  <c r="S298" i="1"/>
  <c r="P298" i="1"/>
  <c r="P377" i="1"/>
  <c r="S377" i="1"/>
  <c r="Q377" i="1"/>
  <c r="Q301" i="1"/>
  <c r="S301" i="1"/>
  <c r="P301" i="1"/>
  <c r="Q185" i="1"/>
  <c r="S185" i="1"/>
  <c r="P185" i="1"/>
  <c r="Q359" i="1"/>
  <c r="S359" i="1"/>
  <c r="P359" i="1"/>
  <c r="Q173" i="1"/>
  <c r="P173" i="1"/>
  <c r="S173" i="1"/>
  <c r="S63" i="1"/>
  <c r="Q63" i="1"/>
  <c r="P63" i="1"/>
  <c r="Q114" i="1"/>
  <c r="S114" i="1"/>
  <c r="P114" i="1"/>
  <c r="S474" i="1"/>
  <c r="P474" i="1"/>
  <c r="Q474" i="1"/>
  <c r="P501" i="1"/>
  <c r="Q501" i="1"/>
  <c r="S501" i="1"/>
  <c r="S22" i="1"/>
  <c r="P22" i="1"/>
  <c r="Q22" i="1"/>
  <c r="Q142" i="1"/>
  <c r="S142" i="1"/>
  <c r="P142" i="1"/>
  <c r="Q154" i="1"/>
  <c r="P154" i="1"/>
  <c r="S154" i="1"/>
  <c r="Q450" i="1"/>
  <c r="P450" i="1"/>
  <c r="S450" i="1"/>
  <c r="S419" i="1"/>
  <c r="P419" i="1"/>
  <c r="Q419" i="1"/>
  <c r="P275" i="1"/>
  <c r="S275" i="1"/>
  <c r="Q275" i="1"/>
  <c r="S47" i="1"/>
  <c r="Q47" i="1"/>
  <c r="P47" i="1"/>
  <c r="P210" i="1"/>
  <c r="S210" i="1"/>
  <c r="Q210" i="1"/>
  <c r="P367" i="1"/>
  <c r="Q367" i="1"/>
  <c r="S367" i="1"/>
  <c r="Q309" i="1"/>
  <c r="S309" i="1"/>
  <c r="P309" i="1"/>
  <c r="Q80" i="1"/>
  <c r="S80" i="1"/>
  <c r="P80" i="1"/>
  <c r="P427" i="1"/>
  <c r="S427" i="1"/>
  <c r="Q427" i="1"/>
  <c r="Q229" i="1"/>
  <c r="P229" i="1"/>
  <c r="S229" i="1"/>
  <c r="Q282" i="1"/>
  <c r="S282" i="1"/>
  <c r="P282" i="1"/>
  <c r="P336" i="1"/>
  <c r="Q336" i="1"/>
  <c r="S336" i="1"/>
  <c r="P332" i="1"/>
  <c r="S332" i="1"/>
  <c r="Q332" i="1"/>
  <c r="Q283" i="1"/>
  <c r="S283" i="1"/>
  <c r="P283" i="1"/>
  <c r="Q100" i="1"/>
  <c r="S100" i="1"/>
  <c r="P100" i="1"/>
  <c r="Q159" i="1"/>
  <c r="S159" i="1"/>
  <c r="P159" i="1"/>
  <c r="P168" i="1"/>
  <c r="Q168" i="1"/>
  <c r="S168" i="1"/>
  <c r="S183" i="1"/>
  <c r="P183" i="1"/>
  <c r="Q183" i="1"/>
  <c r="P326" i="1"/>
  <c r="Q326" i="1"/>
  <c r="S326" i="1"/>
  <c r="Q31" i="1"/>
  <c r="P31" i="1"/>
  <c r="S31" i="1"/>
  <c r="Q424" i="1"/>
  <c r="S424" i="1"/>
  <c r="P424" i="1"/>
  <c r="P8" i="1"/>
  <c r="S8" i="1"/>
  <c r="Q8" i="1"/>
  <c r="P71" i="1"/>
  <c r="S71" i="1"/>
  <c r="Q71" i="1"/>
  <c r="Q172" i="1"/>
  <c r="S172" i="1"/>
  <c r="P172" i="1"/>
  <c r="Q117" i="1"/>
  <c r="S117" i="1"/>
  <c r="P117" i="1"/>
  <c r="P218" i="1"/>
  <c r="S218" i="1"/>
  <c r="Q218" i="1"/>
  <c r="P293" i="1"/>
  <c r="Q293" i="1"/>
  <c r="S293" i="1"/>
  <c r="Q99" i="1"/>
  <c r="S99" i="1"/>
  <c r="P99" i="1"/>
  <c r="S194" i="1"/>
  <c r="P194" i="1"/>
  <c r="Q194" i="1"/>
  <c r="S29" i="1"/>
  <c r="P29" i="1"/>
  <c r="Q29" i="1"/>
  <c r="P145" i="1"/>
  <c r="S145" i="1"/>
  <c r="Q145" i="1"/>
  <c r="Q429" i="1"/>
  <c r="P429" i="1"/>
  <c r="S429" i="1"/>
  <c r="S56" i="1"/>
  <c r="P56" i="1"/>
  <c r="Q56" i="1"/>
  <c r="Q206" i="1"/>
  <c r="P206" i="1"/>
  <c r="S206" i="1"/>
  <c r="S460" i="1"/>
  <c r="P460" i="1"/>
  <c r="Q460" i="1"/>
  <c r="P244" i="1"/>
  <c r="Q244" i="1"/>
  <c r="S244" i="1"/>
  <c r="Q216" i="1"/>
  <c r="S216" i="1"/>
  <c r="P216" i="1"/>
  <c r="P365" i="1"/>
  <c r="S365" i="1"/>
  <c r="Q365" i="1"/>
  <c r="P407" i="1"/>
  <c r="Q407" i="1"/>
  <c r="S407" i="1"/>
  <c r="S4" i="1"/>
  <c r="P4" i="1"/>
  <c r="Q4" i="1"/>
  <c r="S177" i="1"/>
  <c r="Q177" i="1"/>
  <c r="P177" i="1"/>
  <c r="P143" i="1"/>
  <c r="S143" i="1"/>
  <c r="Q143" i="1"/>
  <c r="Q273" i="1"/>
  <c r="P273" i="1"/>
  <c r="S273" i="1"/>
  <c r="Q432" i="1"/>
  <c r="P432" i="1"/>
  <c r="S432" i="1"/>
  <c r="Q57" i="1"/>
  <c r="P57" i="1"/>
  <c r="S57" i="1"/>
  <c r="S51" i="1"/>
  <c r="Q51" i="1"/>
  <c r="P51" i="1"/>
  <c r="Q259" i="1"/>
  <c r="P259" i="1"/>
  <c r="S259" i="1"/>
  <c r="P395" i="1"/>
  <c r="S395" i="1"/>
  <c r="Q395" i="1"/>
  <c r="S98" i="1"/>
  <c r="Q98" i="1"/>
  <c r="P98" i="1"/>
  <c r="P327" i="1"/>
  <c r="S327" i="1"/>
  <c r="Q327" i="1"/>
  <c r="P311" i="1"/>
  <c r="Q311" i="1"/>
  <c r="S311" i="1"/>
  <c r="S387" i="1"/>
  <c r="P387" i="1"/>
  <c r="Q387" i="1"/>
  <c r="P276" i="1"/>
  <c r="Q276" i="1"/>
  <c r="S276" i="1"/>
  <c r="P325" i="1"/>
  <c r="S325" i="1"/>
  <c r="Q325" i="1"/>
  <c r="Q446" i="1"/>
  <c r="S446" i="1"/>
  <c r="P446" i="1"/>
  <c r="Q379" i="1"/>
  <c r="P379" i="1"/>
  <c r="S379" i="1"/>
  <c r="S77" i="1"/>
  <c r="Q77" i="1"/>
  <c r="P77" i="1"/>
  <c r="Q316" i="1"/>
  <c r="P316" i="1"/>
  <c r="S316" i="1"/>
  <c r="P14" i="1"/>
  <c r="S14" i="1"/>
  <c r="Q14" i="1"/>
  <c r="P471" i="1"/>
  <c r="Q471" i="1"/>
  <c r="S471" i="1"/>
  <c r="Q390" i="1"/>
  <c r="P390" i="1"/>
  <c r="S390" i="1"/>
  <c r="Q134" i="1"/>
  <c r="P134" i="1"/>
  <c r="S134" i="1"/>
  <c r="S126" i="1"/>
  <c r="P126" i="1"/>
  <c r="Q126" i="1"/>
  <c r="S386" i="1"/>
  <c r="P386" i="1"/>
  <c r="Q386" i="1"/>
  <c r="P90" i="1"/>
  <c r="Q90" i="1"/>
  <c r="S90" i="1"/>
  <c r="Q457" i="1"/>
  <c r="P457" i="1"/>
  <c r="S457" i="1"/>
  <c r="Q307" i="1"/>
  <c r="P307" i="1"/>
  <c r="S307" i="1"/>
  <c r="P135" i="1"/>
  <c r="Q135" i="1"/>
  <c r="S135" i="1"/>
  <c r="S437" i="1"/>
  <c r="P437" i="1"/>
  <c r="Q437" i="1"/>
  <c r="S149" i="1"/>
  <c r="Q149" i="1"/>
  <c r="P149" i="1"/>
  <c r="S331" i="1"/>
  <c r="P331" i="1"/>
  <c r="Q331" i="1"/>
  <c r="Q389" i="1"/>
  <c r="P389" i="1"/>
  <c r="S389" i="1"/>
  <c r="S257" i="1"/>
  <c r="Q257" i="1"/>
  <c r="P257" i="1"/>
  <c r="Q9" i="1"/>
  <c r="S9" i="1"/>
  <c r="P9" i="1"/>
  <c r="S335" i="1"/>
  <c r="P335" i="1"/>
  <c r="Q335" i="1"/>
  <c r="S461" i="1"/>
  <c r="P461" i="1"/>
  <c r="Q461" i="1"/>
  <c r="Q477" i="1"/>
  <c r="S477" i="1"/>
  <c r="P477" i="1"/>
  <c r="S15" i="1"/>
  <c r="P15" i="1"/>
  <c r="Q15" i="1"/>
  <c r="Q131" i="1"/>
  <c r="S131" i="1"/>
  <c r="P131" i="1"/>
  <c r="S123" i="1"/>
  <c r="P123" i="1"/>
  <c r="Q123" i="1"/>
  <c r="P408" i="1"/>
  <c r="Q408" i="1"/>
  <c r="S408" i="1"/>
  <c r="P201" i="1"/>
  <c r="S201" i="1"/>
  <c r="Q201" i="1"/>
  <c r="Q50" i="1"/>
  <c r="S50" i="1"/>
  <c r="P50" i="1"/>
  <c r="P403" i="1"/>
  <c r="S403" i="1"/>
  <c r="Q403" i="1"/>
  <c r="P17" i="1"/>
  <c r="S17" i="1"/>
  <c r="Q17" i="1"/>
  <c r="S26" i="1"/>
  <c r="P26" i="1"/>
  <c r="Q26" i="1"/>
  <c r="P479" i="1"/>
  <c r="S479" i="1"/>
  <c r="Q479" i="1"/>
  <c r="S413" i="1"/>
  <c r="P413" i="1"/>
  <c r="Q413" i="1"/>
  <c r="P43" i="1"/>
  <c r="Q43" i="1"/>
  <c r="S43" i="1"/>
  <c r="P60" i="1"/>
  <c r="Q60" i="1"/>
  <c r="S60" i="1"/>
  <c r="P42" i="1"/>
  <c r="S42" i="1"/>
  <c r="Q42" i="1"/>
  <c r="Q357" i="1"/>
  <c r="S357" i="1"/>
  <c r="P357" i="1"/>
  <c r="P25" i="1"/>
  <c r="Q25" i="1"/>
  <c r="S25" i="1"/>
  <c r="S202" i="1"/>
  <c r="P202" i="1"/>
  <c r="Q202" i="1"/>
  <c r="P495" i="1"/>
  <c r="Q495" i="1"/>
  <c r="S495" i="1"/>
  <c r="S232" i="1"/>
  <c r="P232" i="1"/>
  <c r="Q232" i="1"/>
  <c r="S399" i="1"/>
  <c r="P399" i="1"/>
  <c r="Q399" i="1"/>
  <c r="Q287" i="1"/>
  <c r="P287" i="1"/>
  <c r="S287" i="1"/>
  <c r="P46" i="1"/>
  <c r="S46" i="1"/>
  <c r="Q46" i="1"/>
  <c r="Q75" i="1"/>
  <c r="S75" i="1"/>
  <c r="P75" i="1"/>
  <c r="Q101" i="1"/>
  <c r="P101" i="1"/>
  <c r="S101" i="1"/>
  <c r="Q83" i="1"/>
  <c r="S83" i="1"/>
  <c r="P83" i="1"/>
  <c r="P385" i="1"/>
  <c r="S385" i="1"/>
  <c r="Q385" i="1"/>
  <c r="P401" i="1"/>
  <c r="S401" i="1"/>
  <c r="Q401" i="1"/>
  <c r="P321" i="1"/>
  <c r="S321" i="1"/>
  <c r="Q321" i="1"/>
  <c r="S169" i="1"/>
  <c r="Q169" i="1"/>
  <c r="P169" i="1"/>
  <c r="Q104" i="1"/>
  <c r="P104" i="1"/>
  <c r="S104" i="1"/>
  <c r="Q462" i="1"/>
  <c r="P462" i="1"/>
  <c r="S462" i="1"/>
  <c r="P409" i="1"/>
  <c r="S409" i="1"/>
  <c r="Q409" i="1"/>
  <c r="S171" i="1"/>
  <c r="Q171" i="1"/>
  <c r="P171" i="1"/>
  <c r="P105" i="1"/>
  <c r="Q105" i="1"/>
  <c r="S105" i="1"/>
  <c r="S491" i="1"/>
  <c r="P491" i="1"/>
  <c r="Q491" i="1"/>
  <c r="P373" i="1"/>
  <c r="Q373" i="1"/>
  <c r="S373" i="1"/>
  <c r="S391" i="1"/>
  <c r="Q391" i="1"/>
  <c r="P391" i="1"/>
  <c r="P108" i="1"/>
  <c r="Q108" i="1"/>
  <c r="S108" i="1"/>
  <c r="S355" i="1"/>
  <c r="Q355" i="1"/>
  <c r="P355" i="1"/>
  <c r="P3" i="1"/>
  <c r="Q3" i="1"/>
  <c r="S3" i="1"/>
  <c r="P19" i="1"/>
  <c r="Q19" i="1"/>
  <c r="S19" i="1"/>
  <c r="S233" i="1"/>
  <c r="P233" i="1"/>
  <c r="Q233" i="1"/>
  <c r="P285" i="1"/>
  <c r="S285" i="1"/>
  <c r="Q285" i="1"/>
  <c r="S486" i="1"/>
  <c r="P486" i="1"/>
  <c r="Q486" i="1"/>
  <c r="P468" i="1"/>
  <c r="S468" i="1"/>
  <c r="Q468" i="1"/>
  <c r="Q11" i="1"/>
  <c r="S11" i="1"/>
  <c r="P11" i="1"/>
  <c r="Q158" i="1"/>
  <c r="P158" i="1"/>
  <c r="S158" i="1"/>
  <c r="P136" i="1"/>
  <c r="S136" i="1"/>
  <c r="Q136" i="1"/>
  <c r="Q354" i="1"/>
  <c r="S354" i="1"/>
  <c r="P354" i="1"/>
  <c r="S412" i="1"/>
  <c r="Q412" i="1"/>
  <c r="P412" i="1"/>
  <c r="P252" i="1"/>
  <c r="S252" i="1"/>
  <c r="Q252" i="1"/>
  <c r="S368" i="1"/>
  <c r="Q368" i="1"/>
  <c r="P368" i="1"/>
  <c r="Q484" i="1"/>
  <c r="P484" i="1"/>
  <c r="S484" i="1"/>
  <c r="P343" i="1"/>
  <c r="Q343" i="1"/>
  <c r="S343" i="1"/>
  <c r="S5" i="1"/>
  <c r="Q5" i="1"/>
  <c r="P5" i="1"/>
  <c r="Q452" i="1"/>
  <c r="S452" i="1"/>
  <c r="P452" i="1"/>
  <c r="Q490" i="1"/>
  <c r="P490" i="1"/>
  <c r="S490" i="1"/>
  <c r="P388" i="1"/>
  <c r="S388" i="1"/>
  <c r="Q388" i="1"/>
  <c r="S324" i="1"/>
  <c r="P324" i="1"/>
  <c r="Q324" i="1"/>
  <c r="S363" i="1"/>
  <c r="Q363" i="1"/>
  <c r="P363" i="1"/>
  <c r="P500" i="1"/>
  <c r="Q500" i="1"/>
  <c r="S500" i="1"/>
  <c r="Q444" i="1"/>
  <c r="P444" i="1"/>
  <c r="S444" i="1"/>
  <c r="S451" i="1"/>
  <c r="P451" i="1"/>
  <c r="Q451" i="1"/>
  <c r="Q255" i="1"/>
  <c r="P255" i="1"/>
  <c r="S255" i="1"/>
  <c r="P398" i="1"/>
  <c r="Q398" i="1"/>
  <c r="S398" i="1"/>
  <c r="Q128" i="1"/>
  <c r="P128" i="1"/>
  <c r="S128" i="1"/>
  <c r="S260" i="1"/>
  <c r="P260" i="1"/>
  <c r="Q260" i="1"/>
  <c r="P487" i="1"/>
  <c r="S487" i="1"/>
  <c r="Q487" i="1"/>
  <c r="Q199" i="1"/>
  <c r="P199" i="1"/>
  <c r="S199" i="1"/>
  <c r="P274" i="1"/>
  <c r="S274" i="1"/>
  <c r="Q274" i="1"/>
  <c r="S314" i="1"/>
  <c r="Q314" i="1"/>
  <c r="P314" i="1"/>
  <c r="S448" i="1"/>
  <c r="P448" i="1"/>
  <c r="Q448" i="1"/>
  <c r="Q193" i="1"/>
  <c r="P193" i="1"/>
  <c r="S193" i="1"/>
  <c r="P55" i="1"/>
  <c r="S55" i="1"/>
  <c r="Q55" i="1"/>
  <c r="Q443" i="1"/>
  <c r="P443" i="1"/>
  <c r="S443" i="1"/>
  <c r="Q109" i="1"/>
  <c r="P109" i="1"/>
  <c r="S109" i="1"/>
  <c r="P82" i="1"/>
  <c r="Q82" i="1"/>
  <c r="S82" i="1"/>
  <c r="Q250" i="1"/>
  <c r="S250" i="1"/>
  <c r="P250" i="1"/>
  <c r="P53" i="1"/>
  <c r="S53" i="1"/>
  <c r="Q53" i="1"/>
  <c r="Q289" i="1"/>
  <c r="P289" i="1"/>
  <c r="S289" i="1"/>
  <c r="Q258" i="1"/>
  <c r="P258" i="1"/>
  <c r="S258" i="1"/>
  <c r="P323" i="1"/>
  <c r="S323" i="1"/>
  <c r="Q323" i="1"/>
  <c r="P237" i="1"/>
  <c r="S237" i="1"/>
  <c r="Q237" i="1"/>
  <c r="Q416" i="1"/>
  <c r="P416" i="1"/>
  <c r="S416" i="1"/>
  <c r="P347" i="1"/>
  <c r="Q347" i="1"/>
  <c r="S347" i="1"/>
  <c r="Q74" i="1"/>
  <c r="P74" i="1"/>
  <c r="S74" i="1"/>
  <c r="S103" i="1"/>
  <c r="Q103" i="1"/>
  <c r="P103" i="1"/>
  <c r="Q139" i="1"/>
  <c r="S139" i="1"/>
  <c r="P139" i="1"/>
  <c r="S239" i="1"/>
  <c r="P239" i="1"/>
  <c r="Q239" i="1"/>
  <c r="Q320" i="1"/>
  <c r="P320" i="1"/>
  <c r="S320" i="1"/>
  <c r="Q330" i="1"/>
  <c r="S330" i="1"/>
  <c r="P330" i="1"/>
  <c r="S333" i="1"/>
  <c r="P333" i="1"/>
  <c r="Q333" i="1"/>
  <c r="P440" i="1"/>
  <c r="Q440" i="1"/>
  <c r="S440" i="1"/>
  <c r="S79" i="1"/>
  <c r="Q79" i="1"/>
  <c r="P79" i="1"/>
  <c r="Q182" i="1"/>
  <c r="P182" i="1"/>
  <c r="S182" i="1"/>
  <c r="S127" i="1"/>
  <c r="P127" i="1"/>
  <c r="Q127" i="1"/>
  <c r="P124" i="1"/>
  <c r="S124" i="1"/>
  <c r="Q124" i="1"/>
  <c r="P281" i="1"/>
  <c r="S281" i="1"/>
  <c r="Q281" i="1"/>
  <c r="S434" i="1"/>
  <c r="P434" i="1"/>
  <c r="Q434" i="1"/>
  <c r="S378" i="1"/>
  <c r="Q378" i="1"/>
  <c r="P378" i="1"/>
  <c r="S381" i="1"/>
  <c r="Q381" i="1"/>
  <c r="P381" i="1"/>
  <c r="Q238" i="1"/>
  <c r="P238" i="1"/>
  <c r="S238" i="1"/>
  <c r="P421" i="1"/>
  <c r="S421" i="1"/>
  <c r="Q421" i="1"/>
  <c r="Q163" i="1"/>
  <c r="P163" i="1"/>
  <c r="S163" i="1"/>
  <c r="P270" i="1"/>
  <c r="Q270" i="1"/>
  <c r="S270" i="1"/>
  <c r="S426" i="1"/>
  <c r="Q426" i="1"/>
  <c r="P426" i="1"/>
  <c r="P470" i="1"/>
  <c r="Q470" i="1"/>
  <c r="S470" i="1"/>
  <c r="P481" i="1"/>
  <c r="S481" i="1"/>
  <c r="Q481" i="1"/>
  <c r="P351" i="1"/>
  <c r="Q351" i="1"/>
  <c r="S351" i="1"/>
  <c r="Q241" i="1"/>
  <c r="S241" i="1"/>
  <c r="P241" i="1"/>
  <c r="P58" i="1"/>
  <c r="S58" i="1"/>
  <c r="Q58" i="1"/>
  <c r="P455" i="1"/>
  <c r="S455" i="1"/>
  <c r="Q455" i="1"/>
  <c r="S2" i="1"/>
  <c r="Q2" i="1"/>
  <c r="Q61" i="1"/>
  <c r="P61" i="1"/>
  <c r="S61" i="1"/>
  <c r="Q52" i="1"/>
  <c r="P52" i="1"/>
  <c r="S52" i="1"/>
  <c r="S133" i="1"/>
  <c r="P133" i="1"/>
  <c r="Q133" i="1"/>
  <c r="S16" i="1"/>
  <c r="Q16" i="1"/>
  <c r="P16" i="1"/>
  <c r="P414" i="1"/>
  <c r="S414" i="1"/>
  <c r="Q414" i="1"/>
  <c r="P179" i="1"/>
  <c r="S179" i="1"/>
  <c r="Q179" i="1"/>
  <c r="S187" i="1"/>
  <c r="P187" i="1"/>
  <c r="Q187" i="1"/>
  <c r="Q375" i="1"/>
  <c r="P375" i="1"/>
  <c r="S375" i="1"/>
  <c r="P482" i="1"/>
  <c r="S482" i="1"/>
  <c r="Q482" i="1"/>
  <c r="S292" i="1"/>
  <c r="Q292" i="1"/>
  <c r="P292" i="1"/>
  <c r="P64" i="1"/>
  <c r="Q64" i="1"/>
  <c r="S64" i="1"/>
  <c r="S157" i="1"/>
  <c r="P157" i="1"/>
  <c r="Q157" i="1"/>
  <c r="P337" i="1"/>
  <c r="S337" i="1"/>
  <c r="Q337" i="1"/>
  <c r="Q304" i="1"/>
  <c r="P304" i="1"/>
  <c r="S304" i="1"/>
  <c r="P296" i="1"/>
  <c r="S296" i="1"/>
  <c r="Q296" i="1"/>
  <c r="S188" i="1"/>
  <c r="Q188" i="1"/>
  <c r="P188" i="1"/>
  <c r="P478" i="1"/>
  <c r="S478" i="1"/>
  <c r="Q478" i="1"/>
  <c r="Q166" i="1"/>
  <c r="S166" i="1"/>
  <c r="P166" i="1"/>
  <c r="Q305" i="1"/>
  <c r="S305" i="1"/>
  <c r="P305" i="1"/>
  <c r="Q24" i="1"/>
  <c r="P24" i="1"/>
  <c r="S24" i="1"/>
  <c r="P78" i="1"/>
  <c r="Q78" i="1"/>
  <c r="S78" i="1"/>
  <c r="Q489" i="1"/>
  <c r="S489" i="1"/>
  <c r="P489" i="1"/>
  <c r="Q428" i="1"/>
  <c r="S428" i="1"/>
  <c r="P428" i="1"/>
  <c r="S420" i="1"/>
  <c r="P420" i="1"/>
  <c r="Q420" i="1"/>
  <c r="S411" i="1"/>
  <c r="Q411" i="1"/>
  <c r="P411" i="1"/>
  <c r="P242" i="1"/>
  <c r="S242" i="1"/>
  <c r="Q242" i="1"/>
  <c r="Q438" i="1"/>
  <c r="S438" i="1"/>
  <c r="P438" i="1"/>
  <c r="S28" i="1"/>
  <c r="P28" i="1"/>
  <c r="Q28" i="1"/>
  <c r="P431" i="1"/>
  <c r="Q431" i="1"/>
  <c r="S431" i="1"/>
  <c r="P72" i="1"/>
  <c r="Q72" i="1"/>
  <c r="S72" i="1"/>
  <c r="S376" i="1"/>
  <c r="P376" i="1"/>
  <c r="Q376" i="1"/>
  <c r="Q302" i="1"/>
  <c r="P302" i="1"/>
  <c r="S302" i="1"/>
  <c r="P235" i="1"/>
  <c r="S235" i="1"/>
  <c r="Q235" i="1"/>
  <c r="P447" i="1"/>
  <c r="Q447" i="1"/>
  <c r="S447" i="1"/>
  <c r="Q262" i="1"/>
  <c r="P262" i="1"/>
  <c r="S262" i="1"/>
  <c r="S102" i="1"/>
  <c r="Q102" i="1"/>
  <c r="P102" i="1"/>
  <c r="P156" i="1"/>
  <c r="S156" i="1"/>
  <c r="Q156" i="1"/>
  <c r="P436" i="1"/>
  <c r="Q436" i="1"/>
  <c r="S436" i="1"/>
  <c r="P20" i="1"/>
  <c r="S20" i="1"/>
  <c r="Q20" i="1"/>
  <c r="S310" i="1"/>
  <c r="Q310" i="1"/>
  <c r="P310" i="1"/>
  <c r="S175" i="1"/>
  <c r="P175" i="1"/>
  <c r="Q175" i="1"/>
  <c r="P312" i="1"/>
  <c r="Q312" i="1"/>
  <c r="S312" i="1"/>
  <c r="Q280" i="1" a="1"/>
  <c r="Q280" i="1" s="1"/>
  <c r="S280" i="1" a="1"/>
  <c r="S280" i="1" s="1"/>
  <c r="P280" i="1" a="1"/>
  <c r="P280" i="1" s="1"/>
</calcChain>
</file>

<file path=xl/sharedStrings.xml><?xml version="1.0" encoding="utf-8"?>
<sst xmlns="http://schemas.openxmlformats.org/spreadsheetml/2006/main" count="3519" uniqueCount="72">
  <si>
    <t>ID_ventas</t>
  </si>
  <si>
    <t>País</t>
  </si>
  <si>
    <t>Región</t>
  </si>
  <si>
    <t>Varietal</t>
  </si>
  <si>
    <t>Tipo</t>
  </si>
  <si>
    <t>Año</t>
  </si>
  <si>
    <t>Ventas (u)</t>
  </si>
  <si>
    <t>Precio_USD</t>
  </si>
  <si>
    <t>Costo_USD</t>
  </si>
  <si>
    <t>Margen_pct</t>
  </si>
  <si>
    <t>Sostenibilidad</t>
  </si>
  <si>
    <t>Canal</t>
  </si>
  <si>
    <t>Tendencia</t>
  </si>
  <si>
    <t>Tasa USD/ARS</t>
  </si>
  <si>
    <t>Precio_ARS</t>
  </si>
  <si>
    <t>Costo_ARS</t>
  </si>
  <si>
    <t>Total_Ventas_USD</t>
  </si>
  <si>
    <t>Total_Ventas_ARS</t>
  </si>
  <si>
    <t>España</t>
  </si>
  <si>
    <t>Rioja</t>
  </si>
  <si>
    <t>Albariño</t>
  </si>
  <si>
    <t>Tinto</t>
  </si>
  <si>
    <t>Biodinámico</t>
  </si>
  <si>
    <t>Retail</t>
  </si>
  <si>
    <t>Fuerte aumento</t>
  </si>
  <si>
    <t>Argentina</t>
  </si>
  <si>
    <t>Salta</t>
  </si>
  <si>
    <t>Bonarda</t>
  </si>
  <si>
    <t>HORECA</t>
  </si>
  <si>
    <t>Estable</t>
  </si>
  <si>
    <t>Malbec</t>
  </si>
  <si>
    <t>Orgánico</t>
  </si>
  <si>
    <t>Aumento moderado</t>
  </si>
  <si>
    <t>Portugal</t>
  </si>
  <si>
    <t>Douro</t>
  </si>
  <si>
    <t>Castelão</t>
  </si>
  <si>
    <t>Blanco</t>
  </si>
  <si>
    <t>Vinho Verde</t>
  </si>
  <si>
    <t>Exportación</t>
  </si>
  <si>
    <t>Uruguay</t>
  </si>
  <si>
    <t>Colonia</t>
  </si>
  <si>
    <t>Tannat</t>
  </si>
  <si>
    <t>Italia</t>
  </si>
  <si>
    <t>Piamonte</t>
  </si>
  <si>
    <t>Nebbiolo</t>
  </si>
  <si>
    <t>Pinot Grigio</t>
  </si>
  <si>
    <t>Disminución</t>
  </si>
  <si>
    <t>Touriga Nacional</t>
  </si>
  <si>
    <t>Merlot</t>
  </si>
  <si>
    <t>Tradicional</t>
  </si>
  <si>
    <t>Francia</t>
  </si>
  <si>
    <t>Champagne</t>
  </si>
  <si>
    <t>Syrah</t>
  </si>
  <si>
    <t>Mendoza</t>
  </si>
  <si>
    <t>Tempranillo</t>
  </si>
  <si>
    <t>Garnacha</t>
  </si>
  <si>
    <t>Cabernet Sauvignon</t>
  </si>
  <si>
    <t>Alentejo</t>
  </si>
  <si>
    <t>Canelones</t>
  </si>
  <si>
    <t>Cataluña</t>
  </si>
  <si>
    <t>Valle del Ródano</t>
  </si>
  <si>
    <t>Ribera del Duero</t>
  </si>
  <si>
    <t>Chardonnay</t>
  </si>
  <si>
    <t>Torrontés</t>
  </si>
  <si>
    <t>Rosado</t>
  </si>
  <si>
    <t>Maldonado</t>
  </si>
  <si>
    <t>Véneto</t>
  </si>
  <si>
    <t>Burdeos</t>
  </si>
  <si>
    <t>Toscana</t>
  </si>
  <si>
    <t>Sangiovese</t>
  </si>
  <si>
    <t>Patagonia</t>
  </si>
  <si>
    <t>Fecha_Calculada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</si>
</sst>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.00_-;\-* #,##0.00_-;_-* &quot;-&quot;??_-;_-@"/>
    <numFmt numFmtId="167" formatCode="dd/mm/yyyy"/>
  </numFmts>
  <fonts count="5" x14ac:knownFonts="1">
    <font>
      <sz val="10"/>
      <color rgb="FF000000"/>
      <name val="Arial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071A"/>
        <bgColor rgb="FF6D071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166" fontId="2" fillId="2" borderId="1" xfId="0" applyNumberFormat="1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66" fontId="4" fillId="0" borderId="0" xfId="0" applyNumberFormat="1" applyFont="1"/>
    <xf numFmtId="10" fontId="4" fillId="0" borderId="2" xfId="0" applyNumberFormat="1" applyFont="1" applyBorder="1"/>
    <xf numFmtId="0" fontId="4" fillId="0" borderId="2" xfId="0" applyFont="1" applyBorder="1"/>
    <xf numFmtId="4" fontId="3" fillId="0" borderId="0" xfId="0" applyNumberFormat="1" applyFont="1"/>
    <xf numFmtId="167" fontId="1" fillId="2" borderId="1" xfId="0" applyNumberFormat="1" applyFont="1" applyFill="1" applyBorder="1" applyAlignment="1">
      <alignment horizontal="center" vertical="top"/>
    </xf>
    <xf numFmtId="167" fontId="4" fillId="0" borderId="2" xfId="0" applyNumberFormat="1" applyFont="1" applyBorder="1"/>
    <xf numFmtId="167" fontId="0" fillId="0" borderId="0" xfId="0" applyNumberFormat="1"/>
    <xf numFmtId="0" fontId="3" fillId="0" borderId="0" xfId="0" applyFont="1" applyBorder="1"/>
    <xf numFmtId="0" fontId="4" fillId="0" borderId="0" xfId="0" applyFont="1" applyBorder="1"/>
    <xf numFmtId="4" fontId="3" fillId="0" borderId="0" xfId="0" applyNumberFormat="1" applyFont="1" applyBorder="1"/>
    <xf numFmtId="166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M1" workbookViewId="0">
      <selection activeCell="T1" sqref="T1:AA1048576"/>
    </sheetView>
  </sheetViews>
  <sheetFormatPr baseColWidth="10" defaultColWidth="12.6640625" defaultRowHeight="15.75" customHeight="1" x14ac:dyDescent="0.25"/>
  <cols>
    <col min="2" max="2" width="14.77734375" style="13" bestFit="1" customWidth="1"/>
    <col min="3" max="3" width="6.6640625" customWidth="1"/>
    <col min="4" max="4" width="9.88671875" customWidth="1"/>
    <col min="5" max="5" width="13.44140625" customWidth="1"/>
    <col min="6" max="6" width="16" customWidth="1"/>
    <col min="7" max="7" width="6.88671875" customWidth="1"/>
    <col min="8" max="8" width="15.33203125" customWidth="1"/>
    <col min="9" max="9" width="23.21875" customWidth="1"/>
    <col min="10" max="10" width="16.88671875" customWidth="1"/>
    <col min="11" max="11" width="12.77734375" customWidth="1"/>
    <col min="12" max="12" width="12.33203125" customWidth="1"/>
    <col min="13" max="13" width="12.77734375" customWidth="1"/>
    <col min="14" max="14" width="11.109375" customWidth="1"/>
    <col min="15" max="15" width="16.21875" customWidth="1"/>
    <col min="16" max="16" width="12.44140625" customWidth="1"/>
    <col min="17" max="17" width="12.109375" customWidth="1"/>
    <col min="18" max="18" width="17.21875" customWidth="1"/>
    <col min="19" max="19" width="21.5546875" bestFit="1" customWidth="1"/>
  </cols>
  <sheetData>
    <row r="1" spans="1:19" ht="14.25" customHeight="1" x14ac:dyDescent="0.25">
      <c r="A1" s="2" t="s">
        <v>0</v>
      </c>
      <c r="B1" s="11" t="s">
        <v>71</v>
      </c>
      <c r="C1" s="1" t="s">
        <v>5</v>
      </c>
      <c r="D1" s="2" t="s">
        <v>1</v>
      </c>
      <c r="E1" s="1" t="s">
        <v>2</v>
      </c>
      <c r="F1" s="1" t="s">
        <v>3</v>
      </c>
      <c r="G1" s="1" t="s">
        <v>4</v>
      </c>
      <c r="H1" s="1" t="s">
        <v>11</v>
      </c>
      <c r="I1" s="1" t="s">
        <v>12</v>
      </c>
      <c r="J1" s="1" t="s">
        <v>10</v>
      </c>
      <c r="K1" s="1" t="s">
        <v>7</v>
      </c>
      <c r="L1" s="1" t="s">
        <v>8</v>
      </c>
      <c r="M1" s="1" t="s">
        <v>9</v>
      </c>
      <c r="N1" s="1" t="s">
        <v>6</v>
      </c>
      <c r="O1" s="1" t="s">
        <v>13</v>
      </c>
      <c r="P1" s="3" t="s">
        <v>14</v>
      </c>
      <c r="Q1" s="3" t="s">
        <v>15</v>
      </c>
      <c r="R1" s="4" t="s">
        <v>16</v>
      </c>
      <c r="S1" s="4" t="s">
        <v>17</v>
      </c>
    </row>
    <row r="2" spans="1:19" ht="14.25" customHeight="1" x14ac:dyDescent="0.3">
      <c r="A2">
        <v>1</v>
      </c>
      <c r="B2" s="12">
        <v>44927</v>
      </c>
      <c r="C2" s="14">
        <v>2023</v>
      </c>
      <c r="D2" s="14" t="s">
        <v>25</v>
      </c>
      <c r="E2" s="14" t="s">
        <v>26</v>
      </c>
      <c r="F2" s="15" t="s">
        <v>27</v>
      </c>
      <c r="G2" s="15" t="s">
        <v>21</v>
      </c>
      <c r="H2" s="9" t="s">
        <v>28</v>
      </c>
      <c r="I2" s="9" t="s">
        <v>29</v>
      </c>
      <c r="J2" s="9" t="s">
        <v>22</v>
      </c>
      <c r="K2" s="17">
        <v>13.91</v>
      </c>
      <c r="L2" s="17">
        <v>9.59</v>
      </c>
      <c r="M2" s="8">
        <v>0.311</v>
      </c>
      <c r="N2" s="16">
        <v>196016</v>
      </c>
      <c r="O2" s="17">
        <v>178.1</v>
      </c>
      <c r="P2" s="17">
        <f t="array" ref="P2">K2*O2</f>
        <v>2477.3710000000001</v>
      </c>
      <c r="Q2" s="17">
        <f t="array" ref="Q2">L2*O2</f>
        <v>1707.9789999999998</v>
      </c>
      <c r="R2" s="17">
        <f t="array" ref="R2">N2*K2</f>
        <v>2726582.56</v>
      </c>
      <c r="S2" s="17">
        <f t="array" ref="S2">N2*K2*O2</f>
        <v>485604353.93599999</v>
      </c>
    </row>
    <row r="3" spans="1:19" ht="14.25" customHeight="1" x14ac:dyDescent="0.3">
      <c r="A3">
        <v>2</v>
      </c>
      <c r="B3" s="12">
        <v>44927</v>
      </c>
      <c r="C3" s="5">
        <v>2023</v>
      </c>
      <c r="D3" s="5" t="s">
        <v>18</v>
      </c>
      <c r="E3" s="5" t="s">
        <v>61</v>
      </c>
      <c r="F3" s="6" t="s">
        <v>54</v>
      </c>
      <c r="G3" s="6" t="s">
        <v>21</v>
      </c>
      <c r="H3" s="9" t="s">
        <v>38</v>
      </c>
      <c r="I3" s="9" t="s">
        <v>24</v>
      </c>
      <c r="J3" s="9" t="s">
        <v>22</v>
      </c>
      <c r="K3" s="7">
        <v>7.87</v>
      </c>
      <c r="L3" s="7">
        <v>6.22</v>
      </c>
      <c r="M3" s="8">
        <v>0.21</v>
      </c>
      <c r="N3" s="10">
        <v>166447</v>
      </c>
      <c r="O3" s="7">
        <v>178.1</v>
      </c>
      <c r="P3" s="7">
        <f t="array" ref="P3">K3*O3</f>
        <v>1401.6469999999999</v>
      </c>
      <c r="Q3" s="7">
        <f t="array" ref="Q3">L3*O3</f>
        <v>1107.7819999999999</v>
      </c>
      <c r="R3" s="7">
        <f t="array" ref="R3">N3*K3</f>
        <v>1309937.8900000001</v>
      </c>
      <c r="S3" s="7">
        <f t="array" ref="S3">N3*K3*O3</f>
        <v>233299938.20900002</v>
      </c>
    </row>
    <row r="4" spans="1:19" ht="14.25" customHeight="1" x14ac:dyDescent="0.3">
      <c r="A4">
        <v>3</v>
      </c>
      <c r="B4" s="12">
        <v>44927</v>
      </c>
      <c r="C4" s="5">
        <v>2023</v>
      </c>
      <c r="D4" s="5" t="s">
        <v>39</v>
      </c>
      <c r="E4" s="5" t="s">
        <v>65</v>
      </c>
      <c r="F4" s="6" t="s">
        <v>41</v>
      </c>
      <c r="G4" s="6" t="s">
        <v>21</v>
      </c>
      <c r="H4" s="9" t="s">
        <v>38</v>
      </c>
      <c r="I4" s="9" t="s">
        <v>29</v>
      </c>
      <c r="J4" s="9" t="s">
        <v>31</v>
      </c>
      <c r="K4" s="7">
        <v>15.49</v>
      </c>
      <c r="L4" s="7">
        <v>9.8800000000000008</v>
      </c>
      <c r="M4" s="8">
        <v>0.36199999999999999</v>
      </c>
      <c r="N4" s="10">
        <v>115027</v>
      </c>
      <c r="O4" s="7">
        <v>178.1</v>
      </c>
      <c r="P4" s="7">
        <f t="array" ref="P4">K4*O4</f>
        <v>2758.7689999999998</v>
      </c>
      <c r="Q4" s="7">
        <f t="array" ref="Q4">L4*O4</f>
        <v>1759.6280000000002</v>
      </c>
      <c r="R4" s="7">
        <f t="array" ref="R4">N4*K4</f>
        <v>1781768.23</v>
      </c>
      <c r="S4" s="7">
        <f t="array" ref="S4">N4*K4*O4</f>
        <v>317332921.76300001</v>
      </c>
    </row>
    <row r="5" spans="1:19" ht="14.25" customHeight="1" x14ac:dyDescent="0.3">
      <c r="A5">
        <v>4</v>
      </c>
      <c r="B5" s="12">
        <v>44927</v>
      </c>
      <c r="C5" s="5">
        <v>2023</v>
      </c>
      <c r="D5" s="5" t="s">
        <v>39</v>
      </c>
      <c r="E5" s="5" t="s">
        <v>40</v>
      </c>
      <c r="F5" s="6" t="s">
        <v>41</v>
      </c>
      <c r="G5" s="6" t="s">
        <v>21</v>
      </c>
      <c r="H5" s="9" t="s">
        <v>28</v>
      </c>
      <c r="I5" s="9" t="s">
        <v>32</v>
      </c>
      <c r="J5" s="9" t="s">
        <v>22</v>
      </c>
      <c r="K5" s="7">
        <v>11.01</v>
      </c>
      <c r="L5" s="7">
        <v>6.79</v>
      </c>
      <c r="M5" s="8">
        <v>0.38300000000000001</v>
      </c>
      <c r="N5" s="10">
        <v>233356</v>
      </c>
      <c r="O5" s="7">
        <v>178.1</v>
      </c>
      <c r="P5" s="7">
        <f t="array" ref="P5">K5*O5</f>
        <v>1960.8809999999999</v>
      </c>
      <c r="Q5" s="7">
        <f t="array" ref="Q5">L5*O5</f>
        <v>1209.299</v>
      </c>
      <c r="R5" s="7">
        <f t="array" ref="R5">N5*K5</f>
        <v>2569249.56</v>
      </c>
      <c r="S5" s="7">
        <f t="array" ref="S5">N5*K5*O5</f>
        <v>457583346.63599998</v>
      </c>
    </row>
    <row r="6" spans="1:19" ht="14.25" customHeight="1" x14ac:dyDescent="0.3">
      <c r="A6">
        <v>5</v>
      </c>
      <c r="B6" s="12">
        <v>44927</v>
      </c>
      <c r="C6" s="5">
        <v>2023</v>
      </c>
      <c r="D6" s="5" t="s">
        <v>42</v>
      </c>
      <c r="E6" s="5" t="s">
        <v>68</v>
      </c>
      <c r="F6" s="6" t="s">
        <v>69</v>
      </c>
      <c r="G6" s="6" t="s">
        <v>36</v>
      </c>
      <c r="H6" s="9" t="s">
        <v>38</v>
      </c>
      <c r="I6" s="9" t="s">
        <v>32</v>
      </c>
      <c r="J6" s="9" t="s">
        <v>31</v>
      </c>
      <c r="K6" s="7">
        <v>17.690000000000001</v>
      </c>
      <c r="L6" s="7">
        <v>11.27</v>
      </c>
      <c r="M6" s="8">
        <v>0.36299999999999999</v>
      </c>
      <c r="N6" s="10">
        <v>258902</v>
      </c>
      <c r="O6" s="7">
        <v>178.1</v>
      </c>
      <c r="P6" s="7">
        <f t="array" ref="P6">K6*O6</f>
        <v>3150.5889999999999</v>
      </c>
      <c r="Q6" s="7">
        <f t="array" ref="Q6">L6*O6</f>
        <v>2007.1869999999999</v>
      </c>
      <c r="R6" s="7">
        <f t="array" ref="R6">N6*K6</f>
        <v>4579976.38</v>
      </c>
      <c r="S6" s="7">
        <f t="array" ref="S6">N6*K6*O6</f>
        <v>815693793.278</v>
      </c>
    </row>
    <row r="7" spans="1:19" ht="14.25" customHeight="1" x14ac:dyDescent="0.3">
      <c r="A7">
        <v>6</v>
      </c>
      <c r="B7" s="12">
        <v>44927</v>
      </c>
      <c r="C7" s="5">
        <v>2023</v>
      </c>
      <c r="D7" s="5" t="s">
        <v>50</v>
      </c>
      <c r="E7" s="5" t="s">
        <v>51</v>
      </c>
      <c r="F7" s="6" t="s">
        <v>52</v>
      </c>
      <c r="G7" s="6" t="s">
        <v>21</v>
      </c>
      <c r="H7" s="9" t="s">
        <v>28</v>
      </c>
      <c r="I7" s="9" t="s">
        <v>29</v>
      </c>
      <c r="J7" s="9" t="s">
        <v>49</v>
      </c>
      <c r="K7" s="7">
        <v>8.92</v>
      </c>
      <c r="L7" s="7">
        <v>5.27</v>
      </c>
      <c r="M7" s="8">
        <v>0.40899999999999997</v>
      </c>
      <c r="N7" s="10">
        <v>286292</v>
      </c>
      <c r="O7" s="7">
        <v>178.1</v>
      </c>
      <c r="P7" s="7">
        <f t="array" ref="P7">K7*O7</f>
        <v>1588.652</v>
      </c>
      <c r="Q7" s="7">
        <f t="array" ref="Q7">L7*O7</f>
        <v>938.58699999999988</v>
      </c>
      <c r="R7" s="7">
        <f t="array" ref="R7">N7*K7</f>
        <v>2553724.64</v>
      </c>
      <c r="S7" s="7">
        <f t="array" ref="S7">N7*K7*O7</f>
        <v>454818358.384</v>
      </c>
    </row>
    <row r="8" spans="1:19" ht="14.25" customHeight="1" x14ac:dyDescent="0.3">
      <c r="A8">
        <v>7</v>
      </c>
      <c r="B8" s="12">
        <v>44927</v>
      </c>
      <c r="C8" s="5">
        <v>2023</v>
      </c>
      <c r="D8" s="5" t="s">
        <v>39</v>
      </c>
      <c r="E8" s="5" t="s">
        <v>40</v>
      </c>
      <c r="F8" s="6" t="s">
        <v>41</v>
      </c>
      <c r="G8" s="6" t="s">
        <v>36</v>
      </c>
      <c r="H8" s="9" t="s">
        <v>28</v>
      </c>
      <c r="I8" s="9" t="s">
        <v>32</v>
      </c>
      <c r="J8" s="9" t="s">
        <v>49</v>
      </c>
      <c r="K8" s="7">
        <v>10.83</v>
      </c>
      <c r="L8" s="7">
        <v>8.17</v>
      </c>
      <c r="M8" s="8">
        <v>0.246</v>
      </c>
      <c r="N8" s="10">
        <v>91619</v>
      </c>
      <c r="O8" s="7">
        <v>178.1</v>
      </c>
      <c r="P8" s="7">
        <f t="array" ref="P8">K8*O8</f>
        <v>1928.8229999999999</v>
      </c>
      <c r="Q8" s="7">
        <f t="array" ref="Q8">L8*O8</f>
        <v>1455.077</v>
      </c>
      <c r="R8" s="7">
        <f t="array" ref="R8">N8*K8</f>
        <v>992233.77</v>
      </c>
      <c r="S8" s="7">
        <f t="array" ref="S8">N8*K8*O8</f>
        <v>176716834.43700001</v>
      </c>
    </row>
    <row r="9" spans="1:19" ht="14.25" customHeight="1" x14ac:dyDescent="0.3">
      <c r="A9">
        <v>8</v>
      </c>
      <c r="B9" s="12">
        <v>44927</v>
      </c>
      <c r="C9" s="5">
        <v>2023</v>
      </c>
      <c r="D9" s="5" t="s">
        <v>18</v>
      </c>
      <c r="E9" s="5" t="s">
        <v>61</v>
      </c>
      <c r="F9" s="6" t="s">
        <v>54</v>
      </c>
      <c r="G9" s="6" t="s">
        <v>21</v>
      </c>
      <c r="H9" s="9" t="s">
        <v>38</v>
      </c>
      <c r="I9" s="9" t="s">
        <v>24</v>
      </c>
      <c r="J9" s="9" t="s">
        <v>22</v>
      </c>
      <c r="K9" s="7">
        <v>11.6</v>
      </c>
      <c r="L9" s="7">
        <v>7.37</v>
      </c>
      <c r="M9" s="8">
        <v>0.36499999999999999</v>
      </c>
      <c r="N9" s="10">
        <v>123356</v>
      </c>
      <c r="O9" s="7">
        <v>178.1</v>
      </c>
      <c r="P9" s="7">
        <f t="array" ref="P9">K9*O9</f>
        <v>2065.96</v>
      </c>
      <c r="Q9" s="7">
        <f t="array" ref="Q9">L9*O9</f>
        <v>1312.597</v>
      </c>
      <c r="R9" s="7">
        <f t="array" ref="R9">N9*K9</f>
        <v>1430929.5999999999</v>
      </c>
      <c r="S9" s="7">
        <f t="array" ref="S9">N9*K9*O9</f>
        <v>254848561.75999996</v>
      </c>
    </row>
    <row r="10" spans="1:19" ht="14.25" customHeight="1" x14ac:dyDescent="0.3">
      <c r="A10">
        <v>9</v>
      </c>
      <c r="B10" s="12">
        <v>44927</v>
      </c>
      <c r="C10" s="5">
        <v>2023</v>
      </c>
      <c r="D10" s="5" t="s">
        <v>33</v>
      </c>
      <c r="E10" s="5" t="s">
        <v>34</v>
      </c>
      <c r="F10" s="6" t="s">
        <v>47</v>
      </c>
      <c r="G10" s="6" t="s">
        <v>21</v>
      </c>
      <c r="H10" s="9" t="s">
        <v>23</v>
      </c>
      <c r="I10" s="9" t="s">
        <v>46</v>
      </c>
      <c r="J10" s="9" t="s">
        <v>49</v>
      </c>
      <c r="K10" s="7">
        <v>14.83</v>
      </c>
      <c r="L10" s="7">
        <v>7.88</v>
      </c>
      <c r="M10" s="8">
        <v>0.46899999999999997</v>
      </c>
      <c r="N10" s="10">
        <v>63422</v>
      </c>
      <c r="O10" s="7">
        <v>178.1</v>
      </c>
      <c r="P10" s="7">
        <f t="array" ref="P10">K10*O10</f>
        <v>2641.223</v>
      </c>
      <c r="Q10" s="7">
        <f t="array" ref="Q10">L10*O10</f>
        <v>1403.4279999999999</v>
      </c>
      <c r="R10" s="7">
        <f t="array" ref="R10">N10*K10</f>
        <v>940548.26</v>
      </c>
      <c r="S10" s="7">
        <f t="array" ref="S10">N10*K10*O10</f>
        <v>167511645.10600001</v>
      </c>
    </row>
    <row r="11" spans="1:19" ht="14.25" customHeight="1" x14ac:dyDescent="0.3">
      <c r="A11">
        <v>10</v>
      </c>
      <c r="B11" s="12">
        <v>44927</v>
      </c>
      <c r="C11" s="5">
        <v>2023</v>
      </c>
      <c r="D11" s="5" t="s">
        <v>18</v>
      </c>
      <c r="E11" s="5" t="s">
        <v>61</v>
      </c>
      <c r="F11" s="6" t="s">
        <v>54</v>
      </c>
      <c r="G11" s="6" t="s">
        <v>64</v>
      </c>
      <c r="H11" s="9" t="s">
        <v>38</v>
      </c>
      <c r="I11" s="9" t="s">
        <v>29</v>
      </c>
      <c r="J11" s="9" t="s">
        <v>22</v>
      </c>
      <c r="K11" s="7">
        <v>14.09</v>
      </c>
      <c r="L11" s="7">
        <v>9.42</v>
      </c>
      <c r="M11" s="8">
        <v>0.33100000000000002</v>
      </c>
      <c r="N11" s="10">
        <v>290616</v>
      </c>
      <c r="O11" s="7">
        <v>178.1</v>
      </c>
      <c r="P11" s="7">
        <f t="array" ref="P11">K11*O11</f>
        <v>2509.4290000000001</v>
      </c>
      <c r="Q11" s="7">
        <f t="array" ref="Q11">L11*O11</f>
        <v>1677.702</v>
      </c>
      <c r="R11" s="7">
        <f t="array" ref="R11">N11*K11</f>
        <v>4094779.44</v>
      </c>
      <c r="S11" s="7">
        <f t="array" ref="S11">N11*K11*O11</f>
        <v>729280218.26399994</v>
      </c>
    </row>
    <row r="12" spans="1:19" ht="14.25" customHeight="1" x14ac:dyDescent="0.3">
      <c r="A12">
        <v>11</v>
      </c>
      <c r="B12" s="12">
        <v>44927</v>
      </c>
      <c r="C12" s="5">
        <v>2023</v>
      </c>
      <c r="D12" s="5" t="s">
        <v>50</v>
      </c>
      <c r="E12" s="5" t="s">
        <v>60</v>
      </c>
      <c r="F12" s="6" t="s">
        <v>62</v>
      </c>
      <c r="G12" s="6" t="s">
        <v>36</v>
      </c>
      <c r="H12" s="9" t="s">
        <v>28</v>
      </c>
      <c r="I12" s="9" t="s">
        <v>29</v>
      </c>
      <c r="J12" s="9" t="s">
        <v>49</v>
      </c>
      <c r="K12" s="7">
        <v>15.96</v>
      </c>
      <c r="L12" s="7">
        <v>12.47</v>
      </c>
      <c r="M12" s="8">
        <v>0.219</v>
      </c>
      <c r="N12" s="10">
        <v>122204</v>
      </c>
      <c r="O12" s="7">
        <v>178.1</v>
      </c>
      <c r="P12" s="7">
        <f t="array" ref="P12">K12*O12</f>
        <v>2842.4760000000001</v>
      </c>
      <c r="Q12" s="7">
        <f t="array" ref="Q12">L12*O12</f>
        <v>2220.9070000000002</v>
      </c>
      <c r="R12" s="7">
        <f t="array" ref="R12">N12*K12</f>
        <v>1950375.84</v>
      </c>
      <c r="S12" s="7">
        <f t="array" ref="S12">N12*K12*O12</f>
        <v>347361937.10400003</v>
      </c>
    </row>
    <row r="13" spans="1:19" ht="14.25" customHeight="1" x14ac:dyDescent="0.3">
      <c r="A13">
        <v>12</v>
      </c>
      <c r="B13" s="12">
        <v>44927</v>
      </c>
      <c r="C13" s="5">
        <v>2023</v>
      </c>
      <c r="D13" s="5" t="s">
        <v>42</v>
      </c>
      <c r="E13" s="5" t="s">
        <v>43</v>
      </c>
      <c r="F13" s="6" t="s">
        <v>44</v>
      </c>
      <c r="G13" s="6" t="s">
        <v>21</v>
      </c>
      <c r="H13" s="9" t="s">
        <v>23</v>
      </c>
      <c r="I13" s="9" t="s">
        <v>24</v>
      </c>
      <c r="J13" s="9" t="s">
        <v>31</v>
      </c>
      <c r="K13" s="7">
        <v>7.86</v>
      </c>
      <c r="L13" s="7">
        <v>5.45</v>
      </c>
      <c r="M13" s="8">
        <v>0.307</v>
      </c>
      <c r="N13" s="10">
        <v>237325</v>
      </c>
      <c r="O13" s="7">
        <v>178.1</v>
      </c>
      <c r="P13" s="7">
        <f t="array" ref="P13">K13*O13</f>
        <v>1399.866</v>
      </c>
      <c r="Q13" s="7">
        <f t="array" ref="Q13">L13*O13</f>
        <v>970.64499999999998</v>
      </c>
      <c r="R13" s="7">
        <f t="array" ref="R13">N13*K13</f>
        <v>1865374.5</v>
      </c>
      <c r="S13" s="7">
        <f t="array" ref="S13">N13*K13*O13</f>
        <v>332223198.44999999</v>
      </c>
    </row>
    <row r="14" spans="1:19" ht="14.25" customHeight="1" x14ac:dyDescent="0.3">
      <c r="A14">
        <v>13</v>
      </c>
      <c r="B14" s="12">
        <v>44927</v>
      </c>
      <c r="C14" s="5">
        <v>2023</v>
      </c>
      <c r="D14" s="5" t="s">
        <v>39</v>
      </c>
      <c r="E14" s="5" t="s">
        <v>58</v>
      </c>
      <c r="F14" s="6" t="s">
        <v>48</v>
      </c>
      <c r="G14" s="6" t="s">
        <v>36</v>
      </c>
      <c r="H14" s="9" t="s">
        <v>38</v>
      </c>
      <c r="I14" s="9" t="s">
        <v>32</v>
      </c>
      <c r="J14" s="9" t="s">
        <v>22</v>
      </c>
      <c r="K14" s="7">
        <v>9.56</v>
      </c>
      <c r="L14" s="7">
        <v>7.53</v>
      </c>
      <c r="M14" s="8">
        <v>0.21199999999999999</v>
      </c>
      <c r="N14" s="10">
        <v>98144</v>
      </c>
      <c r="O14" s="7">
        <v>178.1</v>
      </c>
      <c r="P14" s="7">
        <f t="array" ref="P14">K14*O14</f>
        <v>1702.636</v>
      </c>
      <c r="Q14" s="7">
        <f t="array" ref="Q14">L14*O14</f>
        <v>1341.0930000000001</v>
      </c>
      <c r="R14" s="7">
        <f t="array" ref="R14">N14*K14</f>
        <v>938256.64</v>
      </c>
      <c r="S14" s="7">
        <f t="array" ref="S14">N14*K14*O14</f>
        <v>167103507.58399999</v>
      </c>
    </row>
    <row r="15" spans="1:19" ht="14.25" customHeight="1" x14ac:dyDescent="0.3">
      <c r="A15">
        <v>14</v>
      </c>
      <c r="B15" s="12">
        <v>44927</v>
      </c>
      <c r="C15" s="5">
        <v>2023</v>
      </c>
      <c r="D15" s="5" t="s">
        <v>33</v>
      </c>
      <c r="E15" s="5" t="s">
        <v>57</v>
      </c>
      <c r="F15" s="6" t="s">
        <v>20</v>
      </c>
      <c r="G15" s="6" t="s">
        <v>21</v>
      </c>
      <c r="H15" s="9" t="s">
        <v>38</v>
      </c>
      <c r="I15" s="9" t="s">
        <v>29</v>
      </c>
      <c r="J15" s="9" t="s">
        <v>31</v>
      </c>
      <c r="K15" s="7">
        <v>15.63</v>
      </c>
      <c r="L15" s="7">
        <v>8.8000000000000007</v>
      </c>
      <c r="M15" s="8">
        <v>0.437</v>
      </c>
      <c r="N15" s="10">
        <v>252807</v>
      </c>
      <c r="O15" s="7">
        <v>178.1</v>
      </c>
      <c r="P15" s="7">
        <f t="array" ref="P15">K15*O15</f>
        <v>2783.703</v>
      </c>
      <c r="Q15" s="7">
        <f t="array" ref="Q15">L15*O15</f>
        <v>1567.28</v>
      </c>
      <c r="R15" s="7">
        <f t="array" ref="R15">N15*K15</f>
        <v>3951373.41</v>
      </c>
      <c r="S15" s="7">
        <f t="array" ref="S15">N15*K15*O15</f>
        <v>703739604.32099998</v>
      </c>
    </row>
    <row r="16" spans="1:19" ht="14.25" customHeight="1" x14ac:dyDescent="0.3">
      <c r="A16">
        <v>15</v>
      </c>
      <c r="B16" s="12">
        <v>44927</v>
      </c>
      <c r="C16" s="5">
        <v>2023</v>
      </c>
      <c r="D16" s="5" t="s">
        <v>18</v>
      </c>
      <c r="E16" s="5" t="s">
        <v>19</v>
      </c>
      <c r="F16" s="6" t="s">
        <v>54</v>
      </c>
      <c r="G16" s="6" t="s">
        <v>21</v>
      </c>
      <c r="H16" s="9" t="s">
        <v>23</v>
      </c>
      <c r="I16" s="9" t="s">
        <v>29</v>
      </c>
      <c r="J16" s="9" t="s">
        <v>22</v>
      </c>
      <c r="K16" s="7">
        <v>9.9</v>
      </c>
      <c r="L16" s="7">
        <v>6.32</v>
      </c>
      <c r="M16" s="8">
        <v>0.36199999999999999</v>
      </c>
      <c r="N16" s="10">
        <v>188638</v>
      </c>
      <c r="O16" s="7">
        <v>178.1</v>
      </c>
      <c r="P16" s="7">
        <f t="array" ref="P16">K16*O16</f>
        <v>1763.19</v>
      </c>
      <c r="Q16" s="7">
        <f t="array" ref="Q16">L16*O16</f>
        <v>1125.5920000000001</v>
      </c>
      <c r="R16" s="7">
        <f t="array" ref="R16">N16*K16</f>
        <v>1867516.2</v>
      </c>
      <c r="S16" s="7">
        <f t="array" ref="S16">N16*K16*O16</f>
        <v>332604635.21999997</v>
      </c>
    </row>
    <row r="17" spans="1:19" ht="14.25" customHeight="1" x14ac:dyDescent="0.3">
      <c r="A17">
        <v>16</v>
      </c>
      <c r="B17" s="12">
        <v>44927</v>
      </c>
      <c r="C17" s="5">
        <v>2023</v>
      </c>
      <c r="D17" s="5" t="s">
        <v>39</v>
      </c>
      <c r="E17" s="5" t="s">
        <v>65</v>
      </c>
      <c r="F17" s="6" t="s">
        <v>48</v>
      </c>
      <c r="G17" s="6" t="s">
        <v>36</v>
      </c>
      <c r="H17" s="9" t="s">
        <v>38</v>
      </c>
      <c r="I17" s="9" t="s">
        <v>32</v>
      </c>
      <c r="J17" s="9" t="s">
        <v>22</v>
      </c>
      <c r="K17" s="7">
        <v>16.12</v>
      </c>
      <c r="L17" s="7">
        <v>12.29</v>
      </c>
      <c r="M17" s="8">
        <v>0.23799999999999999</v>
      </c>
      <c r="N17" s="10">
        <v>248450</v>
      </c>
      <c r="O17" s="7">
        <v>178.1</v>
      </c>
      <c r="P17" s="7">
        <f t="array" ref="P17">K17*O17</f>
        <v>2870.9720000000002</v>
      </c>
      <c r="Q17" s="7">
        <f t="array" ref="Q17">L17*O17</f>
        <v>2188.8489999999997</v>
      </c>
      <c r="R17" s="7">
        <f t="array" ref="R17">N17*K17</f>
        <v>4005014.0000000005</v>
      </c>
      <c r="S17" s="7">
        <f t="array" ref="S17">N17*K17*O17</f>
        <v>713292993.4000001</v>
      </c>
    </row>
    <row r="18" spans="1:19" ht="14.25" customHeight="1" x14ac:dyDescent="0.3">
      <c r="A18">
        <v>17</v>
      </c>
      <c r="B18" s="12">
        <v>44927</v>
      </c>
      <c r="C18" s="5">
        <v>2023</v>
      </c>
      <c r="D18" s="5" t="s">
        <v>33</v>
      </c>
      <c r="E18" s="5" t="s">
        <v>37</v>
      </c>
      <c r="F18" s="6" t="s">
        <v>20</v>
      </c>
      <c r="G18" s="6" t="s">
        <v>21</v>
      </c>
      <c r="H18" s="9" t="s">
        <v>38</v>
      </c>
      <c r="I18" s="9" t="s">
        <v>24</v>
      </c>
      <c r="J18" s="9" t="s">
        <v>49</v>
      </c>
      <c r="K18" s="7">
        <v>19.399999999999999</v>
      </c>
      <c r="L18" s="7">
        <v>12.64</v>
      </c>
      <c r="M18" s="8">
        <v>0.34799999999999998</v>
      </c>
      <c r="N18" s="10">
        <v>295880</v>
      </c>
      <c r="O18" s="7">
        <v>178.1</v>
      </c>
      <c r="P18" s="7">
        <f t="array" ref="P18">K18*O18</f>
        <v>3455.1399999999994</v>
      </c>
      <c r="Q18" s="7">
        <f t="array" ref="Q18">L18*O18</f>
        <v>2251.1840000000002</v>
      </c>
      <c r="R18" s="7">
        <f t="array" ref="R18">N18*K18</f>
        <v>5740072</v>
      </c>
      <c r="S18" s="7">
        <f t="array" ref="S18">N18*K18*O18</f>
        <v>1022306823.1999999</v>
      </c>
    </row>
    <row r="19" spans="1:19" ht="14.25" customHeight="1" x14ac:dyDescent="0.3">
      <c r="A19">
        <v>18</v>
      </c>
      <c r="B19" s="12">
        <v>44927</v>
      </c>
      <c r="C19" s="5">
        <v>2023</v>
      </c>
      <c r="D19" s="5" t="s">
        <v>18</v>
      </c>
      <c r="E19" s="5" t="s">
        <v>61</v>
      </c>
      <c r="F19" s="6" t="s">
        <v>55</v>
      </c>
      <c r="G19" s="6" t="s">
        <v>21</v>
      </c>
      <c r="H19" s="9" t="s">
        <v>28</v>
      </c>
      <c r="I19" s="9" t="s">
        <v>24</v>
      </c>
      <c r="J19" s="9" t="s">
        <v>22</v>
      </c>
      <c r="K19" s="7">
        <v>8.33</v>
      </c>
      <c r="L19" s="7">
        <v>6.56</v>
      </c>
      <c r="M19" s="8">
        <v>0.21199999999999999</v>
      </c>
      <c r="N19" s="10">
        <v>73118</v>
      </c>
      <c r="O19" s="7">
        <v>178.1</v>
      </c>
      <c r="P19" s="7">
        <f t="array" ref="P19">K19*O19</f>
        <v>1483.5729999999999</v>
      </c>
      <c r="Q19" s="7">
        <f t="array" ref="Q19">L19*O19</f>
        <v>1168.3359999999998</v>
      </c>
      <c r="R19" s="7">
        <f t="array" ref="R19">N19*K19</f>
        <v>609072.94000000006</v>
      </c>
      <c r="S19" s="7">
        <f t="array" ref="S19">N19*K19*O19</f>
        <v>108475890.61400001</v>
      </c>
    </row>
    <row r="20" spans="1:19" ht="14.25" customHeight="1" x14ac:dyDescent="0.3">
      <c r="A20">
        <v>19</v>
      </c>
      <c r="B20" s="12">
        <v>44927</v>
      </c>
      <c r="C20" s="5">
        <v>2023</v>
      </c>
      <c r="D20" s="5" t="s">
        <v>25</v>
      </c>
      <c r="E20" s="5" t="s">
        <v>70</v>
      </c>
      <c r="F20" s="6" t="s">
        <v>30</v>
      </c>
      <c r="G20" s="6" t="s">
        <v>21</v>
      </c>
      <c r="H20" s="9" t="s">
        <v>38</v>
      </c>
      <c r="I20" s="9" t="s">
        <v>32</v>
      </c>
      <c r="J20" s="9" t="s">
        <v>22</v>
      </c>
      <c r="K20" s="7">
        <v>18.21</v>
      </c>
      <c r="L20" s="7">
        <v>10.91</v>
      </c>
      <c r="M20" s="8">
        <v>0.40100000000000002</v>
      </c>
      <c r="N20" s="10">
        <v>224786</v>
      </c>
      <c r="O20" s="7">
        <v>178.1</v>
      </c>
      <c r="P20" s="7">
        <f t="array" ref="P20">K20*O20</f>
        <v>3243.201</v>
      </c>
      <c r="Q20" s="7">
        <f t="array" ref="Q20">L20*O20</f>
        <v>1943.0709999999999</v>
      </c>
      <c r="R20" s="7">
        <f t="array" ref="R20">N20*K20</f>
        <v>4093353.06</v>
      </c>
      <c r="S20" s="7">
        <f t="array" ref="S20">N20*K20*O20</f>
        <v>729026179.98599994</v>
      </c>
    </row>
    <row r="21" spans="1:19" ht="14.25" customHeight="1" x14ac:dyDescent="0.3">
      <c r="A21">
        <v>20</v>
      </c>
      <c r="B21" s="12">
        <v>44927</v>
      </c>
      <c r="C21" s="5">
        <v>2023</v>
      </c>
      <c r="D21" s="5" t="s">
        <v>42</v>
      </c>
      <c r="E21" s="5" t="s">
        <v>43</v>
      </c>
      <c r="F21" s="6" t="s">
        <v>69</v>
      </c>
      <c r="G21" s="6" t="s">
        <v>36</v>
      </c>
      <c r="H21" s="9" t="s">
        <v>38</v>
      </c>
      <c r="I21" s="9" t="s">
        <v>46</v>
      </c>
      <c r="J21" s="9" t="s">
        <v>31</v>
      </c>
      <c r="K21" s="7">
        <v>5.93</v>
      </c>
      <c r="L21" s="7">
        <v>4.41</v>
      </c>
      <c r="M21" s="8">
        <v>0.25600000000000001</v>
      </c>
      <c r="N21" s="10">
        <v>226260</v>
      </c>
      <c r="O21" s="7">
        <v>178.1</v>
      </c>
      <c r="P21" s="7">
        <f t="array" ref="P21">K21*O21</f>
        <v>1056.1329999999998</v>
      </c>
      <c r="Q21" s="7">
        <f t="array" ref="Q21">L21*O21</f>
        <v>785.42100000000005</v>
      </c>
      <c r="R21" s="7">
        <f t="array" ref="R21">N21*K21</f>
        <v>1341721.8</v>
      </c>
      <c r="S21" s="7">
        <f t="array" ref="S21">N21*K21*O21</f>
        <v>238960652.58000001</v>
      </c>
    </row>
    <row r="22" spans="1:19" ht="14.25" customHeight="1" x14ac:dyDescent="0.3">
      <c r="A22">
        <v>21</v>
      </c>
      <c r="B22" s="12">
        <v>44927</v>
      </c>
      <c r="C22" s="5">
        <v>2023</v>
      </c>
      <c r="D22" s="5" t="s">
        <v>42</v>
      </c>
      <c r="E22" s="5" t="s">
        <v>66</v>
      </c>
      <c r="F22" s="6" t="s">
        <v>69</v>
      </c>
      <c r="G22" s="6" t="s">
        <v>36</v>
      </c>
      <c r="H22" s="9" t="s">
        <v>23</v>
      </c>
      <c r="I22" s="9" t="s">
        <v>24</v>
      </c>
      <c r="J22" s="9" t="s">
        <v>49</v>
      </c>
      <c r="K22" s="7">
        <v>17.2</v>
      </c>
      <c r="L22" s="7">
        <v>13.08</v>
      </c>
      <c r="M22" s="8">
        <v>0.24</v>
      </c>
      <c r="N22" s="10">
        <v>251314</v>
      </c>
      <c r="O22" s="7">
        <v>178.1</v>
      </c>
      <c r="P22" s="7">
        <f t="array" ref="P22">K22*O22</f>
        <v>3063.3199999999997</v>
      </c>
      <c r="Q22" s="7">
        <f t="array" ref="Q22">L22*O22</f>
        <v>2329.5479999999998</v>
      </c>
      <c r="R22" s="7">
        <f t="array" ref="R22">N22*K22</f>
        <v>4322600.8</v>
      </c>
      <c r="S22" s="7">
        <f t="array" ref="S22">N22*K22*O22</f>
        <v>769855202.4799999</v>
      </c>
    </row>
    <row r="23" spans="1:19" ht="14.25" customHeight="1" x14ac:dyDescent="0.3">
      <c r="A23">
        <v>22</v>
      </c>
      <c r="B23" s="12">
        <v>44958</v>
      </c>
      <c r="C23" s="5">
        <v>2023</v>
      </c>
      <c r="D23" s="5" t="s">
        <v>33</v>
      </c>
      <c r="E23" s="5" t="s">
        <v>34</v>
      </c>
      <c r="F23" s="6" t="s">
        <v>35</v>
      </c>
      <c r="G23" s="6" t="s">
        <v>36</v>
      </c>
      <c r="H23" s="9" t="s">
        <v>23</v>
      </c>
      <c r="I23" s="9" t="s">
        <v>32</v>
      </c>
      <c r="J23" s="9" t="s">
        <v>22</v>
      </c>
      <c r="K23" s="7">
        <v>11.46</v>
      </c>
      <c r="L23" s="7">
        <v>7.43</v>
      </c>
      <c r="M23" s="8">
        <v>0.35199999999999998</v>
      </c>
      <c r="N23" s="10">
        <v>169627</v>
      </c>
      <c r="O23" s="7">
        <v>187.29</v>
      </c>
      <c r="P23" s="7">
        <f t="array" ref="P23">K23*O23</f>
        <v>2146.3434000000002</v>
      </c>
      <c r="Q23" s="7">
        <f t="array" ref="Q23">L23*O23</f>
        <v>1391.5646999999999</v>
      </c>
      <c r="R23" s="7">
        <f t="array" ref="R23">N23*K23</f>
        <v>1943925.4200000002</v>
      </c>
      <c r="S23" s="7">
        <f t="array" ref="S23">N23*K23*O23</f>
        <v>364077791.91180003</v>
      </c>
    </row>
    <row r="24" spans="1:19" ht="14.25" customHeight="1" x14ac:dyDescent="0.3">
      <c r="A24">
        <v>23</v>
      </c>
      <c r="B24" s="12">
        <v>44958</v>
      </c>
      <c r="C24" s="5">
        <v>2023</v>
      </c>
      <c r="D24" s="5" t="s">
        <v>39</v>
      </c>
      <c r="E24" s="5" t="s">
        <v>40</v>
      </c>
      <c r="F24" s="6" t="s">
        <v>41</v>
      </c>
      <c r="G24" s="6" t="s">
        <v>36</v>
      </c>
      <c r="H24" s="9" t="s">
        <v>23</v>
      </c>
      <c r="I24" s="9" t="s">
        <v>46</v>
      </c>
      <c r="J24" s="9" t="s">
        <v>22</v>
      </c>
      <c r="K24" s="7">
        <v>12.18</v>
      </c>
      <c r="L24" s="7">
        <v>7.99</v>
      </c>
      <c r="M24" s="8">
        <v>0.34399999999999997</v>
      </c>
      <c r="N24" s="10">
        <v>255281</v>
      </c>
      <c r="O24" s="7">
        <v>187.29</v>
      </c>
      <c r="P24" s="7">
        <f t="array" ref="P24">K24*O24</f>
        <v>2281.1922</v>
      </c>
      <c r="Q24" s="7">
        <f t="array" ref="Q24">L24*O24</f>
        <v>1496.4470999999999</v>
      </c>
      <c r="R24" s="7">
        <f t="array" ref="R24">N24*K24</f>
        <v>3109322.58</v>
      </c>
      <c r="S24" s="7">
        <f t="array" ref="S24">N24*K24*O24</f>
        <v>582345026.00819993</v>
      </c>
    </row>
    <row r="25" spans="1:19" ht="14.25" customHeight="1" x14ac:dyDescent="0.3">
      <c r="A25">
        <v>24</v>
      </c>
      <c r="B25" s="12">
        <v>44958</v>
      </c>
      <c r="C25" s="5">
        <v>2023</v>
      </c>
      <c r="D25" s="5" t="s">
        <v>33</v>
      </c>
      <c r="E25" s="5" t="s">
        <v>57</v>
      </c>
      <c r="F25" s="6" t="s">
        <v>47</v>
      </c>
      <c r="G25" s="6" t="s">
        <v>21</v>
      </c>
      <c r="H25" s="9" t="s">
        <v>23</v>
      </c>
      <c r="I25" s="9" t="s">
        <v>32</v>
      </c>
      <c r="J25" s="9" t="s">
        <v>49</v>
      </c>
      <c r="K25" s="7">
        <v>17.98</v>
      </c>
      <c r="L25" s="7">
        <v>13.59</v>
      </c>
      <c r="M25" s="8">
        <v>0.24399999999999999</v>
      </c>
      <c r="N25" s="10">
        <v>125586</v>
      </c>
      <c r="O25" s="7">
        <v>187.29</v>
      </c>
      <c r="P25" s="7">
        <f t="array" ref="P25">K25*O25</f>
        <v>3367.4742000000001</v>
      </c>
      <c r="Q25" s="7">
        <f t="array" ref="Q25">L25*O25</f>
        <v>2545.2710999999999</v>
      </c>
      <c r="R25" s="7">
        <f t="array" ref="R25">N25*K25</f>
        <v>2258036.2800000003</v>
      </c>
      <c r="S25" s="7">
        <f t="array" ref="S25">N25*K25*O25</f>
        <v>422907614.88120002</v>
      </c>
    </row>
    <row r="26" spans="1:19" ht="14.25" customHeight="1" x14ac:dyDescent="0.3">
      <c r="A26">
        <v>25</v>
      </c>
      <c r="B26" s="12">
        <v>44958</v>
      </c>
      <c r="C26" s="5">
        <v>2023</v>
      </c>
      <c r="D26" s="5" t="s">
        <v>50</v>
      </c>
      <c r="E26" s="5" t="s">
        <v>67</v>
      </c>
      <c r="F26" s="6" t="s">
        <v>52</v>
      </c>
      <c r="G26" s="6" t="s">
        <v>21</v>
      </c>
      <c r="H26" s="9" t="s">
        <v>23</v>
      </c>
      <c r="I26" s="9" t="s">
        <v>29</v>
      </c>
      <c r="J26" s="9" t="s">
        <v>31</v>
      </c>
      <c r="K26" s="7">
        <v>19.079999999999998</v>
      </c>
      <c r="L26" s="7">
        <v>13.97</v>
      </c>
      <c r="M26" s="8">
        <v>0.26800000000000002</v>
      </c>
      <c r="N26" s="10">
        <v>273406</v>
      </c>
      <c r="O26" s="7">
        <v>187.29</v>
      </c>
      <c r="P26" s="7">
        <f t="array" ref="P26">K26*O26</f>
        <v>3573.4931999999994</v>
      </c>
      <c r="Q26" s="7">
        <f t="array" ref="Q26">L26*O26</f>
        <v>2616.4413</v>
      </c>
      <c r="R26" s="7">
        <f t="array" ref="R26">N26*K26</f>
        <v>5216586.4799999995</v>
      </c>
      <c r="S26" s="7">
        <f t="array" ref="S26">N26*K26*O26</f>
        <v>977014481.8391999</v>
      </c>
    </row>
    <row r="27" spans="1:19" ht="14.25" customHeight="1" x14ac:dyDescent="0.3">
      <c r="A27">
        <v>26</v>
      </c>
      <c r="B27" s="12">
        <v>44958</v>
      </c>
      <c r="C27" s="5">
        <v>2023</v>
      </c>
      <c r="D27" s="5" t="s">
        <v>25</v>
      </c>
      <c r="E27" s="5" t="s">
        <v>70</v>
      </c>
      <c r="F27" s="6" t="s">
        <v>30</v>
      </c>
      <c r="G27" s="6" t="s">
        <v>64</v>
      </c>
      <c r="H27" s="9" t="s">
        <v>38</v>
      </c>
      <c r="I27" s="9" t="s">
        <v>32</v>
      </c>
      <c r="J27" s="9" t="s">
        <v>31</v>
      </c>
      <c r="K27" s="7">
        <v>5.88</v>
      </c>
      <c r="L27" s="7">
        <v>3.14</v>
      </c>
      <c r="M27" s="8">
        <v>0.46600000000000003</v>
      </c>
      <c r="N27" s="10">
        <v>182886</v>
      </c>
      <c r="O27" s="7">
        <v>187.29</v>
      </c>
      <c r="P27" s="7">
        <f t="array" ref="P27">K27*O27</f>
        <v>1101.2651999999998</v>
      </c>
      <c r="Q27" s="7">
        <f t="array" ref="Q27">L27*O27</f>
        <v>588.09059999999999</v>
      </c>
      <c r="R27" s="7">
        <f t="array" ref="R27">N27*K27</f>
        <v>1075369.68</v>
      </c>
      <c r="S27" s="7">
        <f t="array" ref="S27">N27*K27*O27</f>
        <v>201405987.36719999</v>
      </c>
    </row>
    <row r="28" spans="1:19" ht="14.25" customHeight="1" x14ac:dyDescent="0.3">
      <c r="A28">
        <v>27</v>
      </c>
      <c r="B28" s="12">
        <v>44958</v>
      </c>
      <c r="C28" s="5">
        <v>2023</v>
      </c>
      <c r="D28" s="5" t="s">
        <v>42</v>
      </c>
      <c r="E28" s="5" t="s">
        <v>68</v>
      </c>
      <c r="F28" s="6" t="s">
        <v>69</v>
      </c>
      <c r="G28" s="6" t="s">
        <v>21</v>
      </c>
      <c r="H28" s="9" t="s">
        <v>23</v>
      </c>
      <c r="I28" s="9" t="s">
        <v>32</v>
      </c>
      <c r="J28" s="9" t="s">
        <v>49</v>
      </c>
      <c r="K28" s="7">
        <v>9.6199999999999992</v>
      </c>
      <c r="L28" s="7">
        <v>5.16</v>
      </c>
      <c r="M28" s="8">
        <v>0.46400000000000002</v>
      </c>
      <c r="N28" s="10">
        <v>60021</v>
      </c>
      <c r="O28" s="7">
        <v>187.29</v>
      </c>
      <c r="P28" s="7">
        <f t="array" ref="P28">K28*O28</f>
        <v>1801.7297999999998</v>
      </c>
      <c r="Q28" s="7">
        <f t="array" ref="Q28">L28*O28</f>
        <v>966.41639999999995</v>
      </c>
      <c r="R28" s="7">
        <f t="array" ref="R28">N28*K28</f>
        <v>577402.0199999999</v>
      </c>
      <c r="S28" s="7">
        <f t="array" ref="S28">N28*K28*O28</f>
        <v>108141624.32579997</v>
      </c>
    </row>
    <row r="29" spans="1:19" ht="14.25" customHeight="1" x14ac:dyDescent="0.3">
      <c r="A29">
        <v>28</v>
      </c>
      <c r="B29" s="12">
        <v>44958</v>
      </c>
      <c r="C29" s="5">
        <v>2023</v>
      </c>
      <c r="D29" s="5" t="s">
        <v>39</v>
      </c>
      <c r="E29" s="5" t="s">
        <v>58</v>
      </c>
      <c r="F29" s="6" t="s">
        <v>48</v>
      </c>
      <c r="G29" s="6" t="s">
        <v>64</v>
      </c>
      <c r="H29" s="9" t="s">
        <v>23</v>
      </c>
      <c r="I29" s="9" t="s">
        <v>24</v>
      </c>
      <c r="J29" s="9" t="s">
        <v>22</v>
      </c>
      <c r="K29" s="7">
        <v>17.77</v>
      </c>
      <c r="L29" s="7">
        <v>11.71</v>
      </c>
      <c r="M29" s="8">
        <v>0.34100000000000003</v>
      </c>
      <c r="N29" s="10">
        <v>126827</v>
      </c>
      <c r="O29" s="7">
        <v>187.29</v>
      </c>
      <c r="P29" s="7">
        <f t="array" ref="P29">K29*O29</f>
        <v>3328.1432999999997</v>
      </c>
      <c r="Q29" s="7">
        <f t="array" ref="Q29">L29*O29</f>
        <v>2193.1659</v>
      </c>
      <c r="R29" s="7">
        <f t="array" ref="R29">N29*K29</f>
        <v>2253715.79</v>
      </c>
      <c r="S29" s="7">
        <f t="array" ref="S29">N29*K29*O29</f>
        <v>422098430.30909997</v>
      </c>
    </row>
    <row r="30" spans="1:19" ht="14.25" customHeight="1" x14ac:dyDescent="0.3">
      <c r="A30">
        <v>29</v>
      </c>
      <c r="B30" s="12">
        <v>44958</v>
      </c>
      <c r="C30" s="5">
        <v>2023</v>
      </c>
      <c r="D30" s="5" t="s">
        <v>39</v>
      </c>
      <c r="E30" s="5" t="s">
        <v>40</v>
      </c>
      <c r="F30" s="6" t="s">
        <v>20</v>
      </c>
      <c r="G30" s="6" t="s">
        <v>21</v>
      </c>
      <c r="H30" s="9" t="s">
        <v>38</v>
      </c>
      <c r="I30" s="9" t="s">
        <v>29</v>
      </c>
      <c r="J30" s="9" t="s">
        <v>49</v>
      </c>
      <c r="K30" s="7">
        <v>7.92</v>
      </c>
      <c r="L30" s="7">
        <v>5.01</v>
      </c>
      <c r="M30" s="8">
        <v>0.36699999999999999</v>
      </c>
      <c r="N30" s="10">
        <v>169131</v>
      </c>
      <c r="O30" s="7">
        <v>187.29</v>
      </c>
      <c r="P30" s="7">
        <f t="array" ref="P30">K30*O30</f>
        <v>1483.3367999999998</v>
      </c>
      <c r="Q30" s="7">
        <f t="array" ref="Q30">L30*O30</f>
        <v>938.32289999999989</v>
      </c>
      <c r="R30" s="7">
        <f t="array" ref="R30">N30*K30</f>
        <v>1339517.52</v>
      </c>
      <c r="S30" s="7">
        <f t="array" ref="S30">N30*K30*O30</f>
        <v>250878236.32080001</v>
      </c>
    </row>
    <row r="31" spans="1:19" ht="14.25" customHeight="1" x14ac:dyDescent="0.3">
      <c r="A31">
        <v>30</v>
      </c>
      <c r="B31" s="12">
        <v>44958</v>
      </c>
      <c r="C31" s="5">
        <v>2023</v>
      </c>
      <c r="D31" s="5" t="s">
        <v>33</v>
      </c>
      <c r="E31" s="5" t="s">
        <v>57</v>
      </c>
      <c r="F31" s="6" t="s">
        <v>35</v>
      </c>
      <c r="G31" s="6" t="s">
        <v>21</v>
      </c>
      <c r="H31" s="9" t="s">
        <v>23</v>
      </c>
      <c r="I31" s="9" t="s">
        <v>32</v>
      </c>
      <c r="J31" s="9" t="s">
        <v>49</v>
      </c>
      <c r="K31" s="7">
        <v>10.25</v>
      </c>
      <c r="L31" s="7">
        <v>6.12</v>
      </c>
      <c r="M31" s="8">
        <v>0.40300000000000002</v>
      </c>
      <c r="N31" s="10">
        <v>93661</v>
      </c>
      <c r="O31" s="7">
        <v>187.29</v>
      </c>
      <c r="P31" s="7">
        <f t="array" ref="P31">K31*O31</f>
        <v>1919.7224999999999</v>
      </c>
      <c r="Q31" s="7">
        <f t="array" ref="Q31">L31*O31</f>
        <v>1146.2148</v>
      </c>
      <c r="R31" s="7">
        <f t="array" ref="R31">N31*K31</f>
        <v>960025.25</v>
      </c>
      <c r="S31" s="7">
        <f t="array" ref="S31">N31*K31*O31</f>
        <v>179803129.07249999</v>
      </c>
    </row>
    <row r="32" spans="1:19" ht="14.25" customHeight="1" x14ac:dyDescent="0.3">
      <c r="A32">
        <v>31</v>
      </c>
      <c r="B32" s="12">
        <v>44958</v>
      </c>
      <c r="C32" s="5">
        <v>2023</v>
      </c>
      <c r="D32" s="5" t="s">
        <v>50</v>
      </c>
      <c r="E32" s="5" t="s">
        <v>67</v>
      </c>
      <c r="F32" s="6" t="s">
        <v>56</v>
      </c>
      <c r="G32" s="6" t="s">
        <v>36</v>
      </c>
      <c r="H32" s="9" t="s">
        <v>23</v>
      </c>
      <c r="I32" s="9" t="s">
        <v>24</v>
      </c>
      <c r="J32" s="9" t="s">
        <v>31</v>
      </c>
      <c r="K32" s="7">
        <v>16.72</v>
      </c>
      <c r="L32" s="7">
        <v>11.32</v>
      </c>
      <c r="M32" s="8">
        <v>0.32300000000000001</v>
      </c>
      <c r="N32" s="10">
        <v>293530</v>
      </c>
      <c r="O32" s="7">
        <v>187.29</v>
      </c>
      <c r="P32" s="7">
        <f t="array" ref="P32">K32*O32</f>
        <v>3131.4887999999996</v>
      </c>
      <c r="Q32" s="7">
        <f t="array" ref="Q32">L32*O32</f>
        <v>2120.1228000000001</v>
      </c>
      <c r="R32" s="7">
        <f t="array" ref="R32">N32*K32</f>
        <v>4907821.5999999996</v>
      </c>
      <c r="S32" s="7">
        <f t="array" ref="S32">N32*K32*O32</f>
        <v>919185907.46399987</v>
      </c>
    </row>
    <row r="33" spans="1:19" ht="14.25" customHeight="1" x14ac:dyDescent="0.3">
      <c r="A33">
        <v>32</v>
      </c>
      <c r="B33" s="12">
        <v>44958</v>
      </c>
      <c r="C33" s="5">
        <v>2023</v>
      </c>
      <c r="D33" s="5" t="s">
        <v>25</v>
      </c>
      <c r="E33" s="5" t="s">
        <v>53</v>
      </c>
      <c r="F33" s="6" t="s">
        <v>30</v>
      </c>
      <c r="G33" s="6" t="s">
        <v>21</v>
      </c>
      <c r="H33" s="9" t="s">
        <v>23</v>
      </c>
      <c r="I33" s="9" t="s">
        <v>24</v>
      </c>
      <c r="J33" s="9" t="s">
        <v>31</v>
      </c>
      <c r="K33" s="7">
        <v>18.59</v>
      </c>
      <c r="L33" s="7">
        <v>13.64</v>
      </c>
      <c r="M33" s="8">
        <v>0.26600000000000001</v>
      </c>
      <c r="N33" s="10">
        <v>217972</v>
      </c>
      <c r="O33" s="7">
        <v>187.29</v>
      </c>
      <c r="P33" s="7">
        <f t="array" ref="P33">K33*O33</f>
        <v>3481.7210999999998</v>
      </c>
      <c r="Q33" s="7">
        <f t="array" ref="Q33">L33*O33</f>
        <v>2554.6356000000001</v>
      </c>
      <c r="R33" s="7">
        <f t="array" ref="R33">N33*K33</f>
        <v>4052099.48</v>
      </c>
      <c r="S33" s="7">
        <f t="array" ref="S33">N33*K33*O33</f>
        <v>758917711.6092</v>
      </c>
    </row>
    <row r="34" spans="1:19" ht="14.25" customHeight="1" x14ac:dyDescent="0.3">
      <c r="A34">
        <v>33</v>
      </c>
      <c r="B34" s="12">
        <v>44958</v>
      </c>
      <c r="C34" s="5">
        <v>2023</v>
      </c>
      <c r="D34" s="5" t="s">
        <v>50</v>
      </c>
      <c r="E34" s="5" t="s">
        <v>51</v>
      </c>
      <c r="F34" s="6" t="s">
        <v>62</v>
      </c>
      <c r="G34" s="6" t="s">
        <v>21</v>
      </c>
      <c r="H34" s="9" t="s">
        <v>23</v>
      </c>
      <c r="I34" s="9" t="s">
        <v>32</v>
      </c>
      <c r="J34" s="9" t="s">
        <v>31</v>
      </c>
      <c r="K34" s="7">
        <v>17.739999999999998</v>
      </c>
      <c r="L34" s="7">
        <v>8.93</v>
      </c>
      <c r="M34" s="8">
        <v>0.497</v>
      </c>
      <c r="N34" s="10">
        <v>177854</v>
      </c>
      <c r="O34" s="7">
        <v>187.29</v>
      </c>
      <c r="P34" s="7">
        <f t="array" ref="P34">K34*O34</f>
        <v>3322.5245999999997</v>
      </c>
      <c r="Q34" s="7">
        <f t="array" ref="Q34">L34*O34</f>
        <v>1672.4996999999998</v>
      </c>
      <c r="R34" s="7">
        <f t="array" ref="R34">N34*K34</f>
        <v>3155129.9599999995</v>
      </c>
      <c r="S34" s="7">
        <f t="array" ref="S34">N34*K34*O34</f>
        <v>590924290.20839989</v>
      </c>
    </row>
    <row r="35" spans="1:19" ht="14.25" customHeight="1" x14ac:dyDescent="0.3">
      <c r="A35">
        <v>34</v>
      </c>
      <c r="B35" s="12">
        <v>44958</v>
      </c>
      <c r="C35" s="5">
        <v>2023</v>
      </c>
      <c r="D35" s="5" t="s">
        <v>50</v>
      </c>
      <c r="E35" s="5" t="s">
        <v>51</v>
      </c>
      <c r="F35" s="6" t="s">
        <v>56</v>
      </c>
      <c r="G35" s="6" t="s">
        <v>21</v>
      </c>
      <c r="H35" s="9" t="s">
        <v>23</v>
      </c>
      <c r="I35" s="9" t="s">
        <v>46</v>
      </c>
      <c r="J35" s="9" t="s">
        <v>31</v>
      </c>
      <c r="K35" s="7">
        <v>7.36</v>
      </c>
      <c r="L35" s="7">
        <v>5.09</v>
      </c>
      <c r="M35" s="8">
        <v>0.308</v>
      </c>
      <c r="N35" s="10">
        <v>133910</v>
      </c>
      <c r="O35" s="7">
        <v>187.29</v>
      </c>
      <c r="P35" s="7">
        <f t="array" ref="P35">K35*O35</f>
        <v>1378.4544000000001</v>
      </c>
      <c r="Q35" s="7">
        <f t="array" ref="Q35">L35*O35</f>
        <v>953.3060999999999</v>
      </c>
      <c r="R35" s="7">
        <f t="array" ref="R35">N35*K35</f>
        <v>985577.60000000009</v>
      </c>
      <c r="S35" s="7">
        <f t="array" ref="S35">N35*K35*O35</f>
        <v>184588828.704</v>
      </c>
    </row>
    <row r="36" spans="1:19" ht="14.25" customHeight="1" x14ac:dyDescent="0.3">
      <c r="A36">
        <v>35</v>
      </c>
      <c r="B36" s="12">
        <v>44958</v>
      </c>
      <c r="C36" s="5">
        <v>2023</v>
      </c>
      <c r="D36" s="5" t="s">
        <v>42</v>
      </c>
      <c r="E36" s="5" t="s">
        <v>68</v>
      </c>
      <c r="F36" s="6" t="s">
        <v>45</v>
      </c>
      <c r="G36" s="6" t="s">
        <v>36</v>
      </c>
      <c r="H36" s="9" t="s">
        <v>23</v>
      </c>
      <c r="I36" s="9" t="s">
        <v>24</v>
      </c>
      <c r="J36" s="9" t="s">
        <v>31</v>
      </c>
      <c r="K36" s="7">
        <v>8.06</v>
      </c>
      <c r="L36" s="7">
        <v>6.01</v>
      </c>
      <c r="M36" s="8">
        <v>0.254</v>
      </c>
      <c r="N36" s="10">
        <v>158836</v>
      </c>
      <c r="O36" s="7">
        <v>187.29</v>
      </c>
      <c r="P36" s="7">
        <f t="array" ref="P36">K36*O36</f>
        <v>1509.5573999999999</v>
      </c>
      <c r="Q36" s="7">
        <f t="array" ref="Q36">L36*O36</f>
        <v>1125.6128999999999</v>
      </c>
      <c r="R36" s="7">
        <f t="array" ref="R36">N36*K36</f>
        <v>1280218.1600000001</v>
      </c>
      <c r="S36" s="7">
        <f t="array" ref="S36">N36*K36*O36</f>
        <v>239772059.18640003</v>
      </c>
    </row>
    <row r="37" spans="1:19" ht="14.25" customHeight="1" x14ac:dyDescent="0.3">
      <c r="A37">
        <v>36</v>
      </c>
      <c r="B37" s="12">
        <v>44958</v>
      </c>
      <c r="C37" s="5">
        <v>2023</v>
      </c>
      <c r="D37" s="5" t="s">
        <v>25</v>
      </c>
      <c r="E37" s="5" t="s">
        <v>53</v>
      </c>
      <c r="F37" s="6" t="s">
        <v>30</v>
      </c>
      <c r="G37" s="6" t="s">
        <v>21</v>
      </c>
      <c r="H37" s="9" t="s">
        <v>28</v>
      </c>
      <c r="I37" s="9" t="s">
        <v>24</v>
      </c>
      <c r="J37" s="9" t="s">
        <v>22</v>
      </c>
      <c r="K37" s="7">
        <v>17.190000000000001</v>
      </c>
      <c r="L37" s="7">
        <v>12.51</v>
      </c>
      <c r="M37" s="8">
        <v>0.27200000000000002</v>
      </c>
      <c r="N37" s="10">
        <v>153096</v>
      </c>
      <c r="O37" s="7">
        <v>187.29</v>
      </c>
      <c r="P37" s="7">
        <f t="array" ref="P37">K37*O37</f>
        <v>3219.5151000000001</v>
      </c>
      <c r="Q37" s="7">
        <f t="array" ref="Q37">L37*O37</f>
        <v>2342.9978999999998</v>
      </c>
      <c r="R37" s="7">
        <f t="array" ref="R37">N37*K37</f>
        <v>2631720.2400000002</v>
      </c>
      <c r="S37" s="7">
        <f t="array" ref="S37">N37*K37*O37</f>
        <v>492894883.74959999</v>
      </c>
    </row>
    <row r="38" spans="1:19" ht="14.25" customHeight="1" x14ac:dyDescent="0.3">
      <c r="A38">
        <v>37</v>
      </c>
      <c r="B38" s="12">
        <v>44958</v>
      </c>
      <c r="C38" s="5">
        <v>2023</v>
      </c>
      <c r="D38" s="5" t="s">
        <v>39</v>
      </c>
      <c r="E38" s="5" t="s">
        <v>58</v>
      </c>
      <c r="F38" s="6" t="s">
        <v>20</v>
      </c>
      <c r="G38" s="6" t="s">
        <v>21</v>
      </c>
      <c r="H38" s="9" t="s">
        <v>28</v>
      </c>
      <c r="I38" s="9" t="s">
        <v>29</v>
      </c>
      <c r="J38" s="9" t="s">
        <v>22</v>
      </c>
      <c r="K38" s="7">
        <v>14.78</v>
      </c>
      <c r="L38" s="7">
        <v>9.23</v>
      </c>
      <c r="M38" s="8">
        <v>0.376</v>
      </c>
      <c r="N38" s="10">
        <v>184967</v>
      </c>
      <c r="O38" s="7">
        <v>187.29</v>
      </c>
      <c r="P38" s="7">
        <f t="array" ref="P38">K38*O38</f>
        <v>2768.1461999999997</v>
      </c>
      <c r="Q38" s="7">
        <f t="array" ref="Q38">L38*O38</f>
        <v>1728.6867</v>
      </c>
      <c r="R38" s="7">
        <f t="array" ref="R38">N38*K38</f>
        <v>2733812.26</v>
      </c>
      <c r="S38" s="7">
        <f t="array" ref="S38">N38*K38*O38</f>
        <v>512015698.17539996</v>
      </c>
    </row>
    <row r="39" spans="1:19" ht="14.25" customHeight="1" x14ac:dyDescent="0.3">
      <c r="A39">
        <v>38</v>
      </c>
      <c r="B39" s="12">
        <v>44958</v>
      </c>
      <c r="C39" s="5">
        <v>2023</v>
      </c>
      <c r="D39" s="5" t="s">
        <v>50</v>
      </c>
      <c r="E39" s="5" t="s">
        <v>67</v>
      </c>
      <c r="F39" s="6" t="s">
        <v>52</v>
      </c>
      <c r="G39" s="6" t="s">
        <v>21</v>
      </c>
      <c r="H39" s="9" t="s">
        <v>28</v>
      </c>
      <c r="I39" s="9" t="s">
        <v>32</v>
      </c>
      <c r="J39" s="9" t="s">
        <v>31</v>
      </c>
      <c r="K39" s="7">
        <v>13.26</v>
      </c>
      <c r="L39" s="7">
        <v>8.7899999999999991</v>
      </c>
      <c r="M39" s="8">
        <v>0.33700000000000002</v>
      </c>
      <c r="N39" s="10">
        <v>240059</v>
      </c>
      <c r="O39" s="7">
        <v>187.29</v>
      </c>
      <c r="P39" s="7">
        <f t="array" ref="P39">K39*O39</f>
        <v>2483.4654</v>
      </c>
      <c r="Q39" s="7">
        <f t="array" ref="Q39">L39*O39</f>
        <v>1646.2790999999997</v>
      </c>
      <c r="R39" s="7">
        <f t="array" ref="R39">N39*K39</f>
        <v>3183182.34</v>
      </c>
      <c r="S39" s="7">
        <f t="array" ref="S39">N39*K39*O39</f>
        <v>596178220.45859993</v>
      </c>
    </row>
    <row r="40" spans="1:19" ht="14.25" customHeight="1" x14ac:dyDescent="0.3">
      <c r="A40">
        <v>39</v>
      </c>
      <c r="B40" s="12">
        <v>44958</v>
      </c>
      <c r="C40" s="5">
        <v>2023</v>
      </c>
      <c r="D40" s="5" t="s">
        <v>42</v>
      </c>
      <c r="E40" s="5" t="s">
        <v>43</v>
      </c>
      <c r="F40" s="6" t="s">
        <v>69</v>
      </c>
      <c r="G40" s="6" t="s">
        <v>21</v>
      </c>
      <c r="H40" s="9" t="s">
        <v>23</v>
      </c>
      <c r="I40" s="9" t="s">
        <v>24</v>
      </c>
      <c r="J40" s="9" t="s">
        <v>22</v>
      </c>
      <c r="K40" s="7">
        <v>9.81</v>
      </c>
      <c r="L40" s="7">
        <v>7.56</v>
      </c>
      <c r="M40" s="8">
        <v>0.22900000000000001</v>
      </c>
      <c r="N40" s="10">
        <v>51561</v>
      </c>
      <c r="O40" s="7">
        <v>187.29</v>
      </c>
      <c r="P40" s="7">
        <f t="array" ref="P40">K40*O40</f>
        <v>1837.3149000000001</v>
      </c>
      <c r="Q40" s="7">
        <f t="array" ref="Q40">L40*O40</f>
        <v>1415.9123999999999</v>
      </c>
      <c r="R40" s="7">
        <f t="array" ref="R40">N40*K40</f>
        <v>505813.41000000003</v>
      </c>
      <c r="S40" s="7">
        <f t="array" ref="S40">N40*K40*O40</f>
        <v>94733793.558899999</v>
      </c>
    </row>
    <row r="41" spans="1:19" ht="14.25" customHeight="1" x14ac:dyDescent="0.3">
      <c r="A41">
        <v>40</v>
      </c>
      <c r="B41" s="12">
        <v>44958</v>
      </c>
      <c r="C41" s="5">
        <v>2023</v>
      </c>
      <c r="D41" s="5" t="s">
        <v>33</v>
      </c>
      <c r="E41" s="5" t="s">
        <v>37</v>
      </c>
      <c r="F41" s="6" t="s">
        <v>35</v>
      </c>
      <c r="G41" s="6" t="s">
        <v>36</v>
      </c>
      <c r="H41" s="9" t="s">
        <v>23</v>
      </c>
      <c r="I41" s="9" t="s">
        <v>24</v>
      </c>
      <c r="J41" s="9" t="s">
        <v>31</v>
      </c>
      <c r="K41" s="7">
        <v>17.47</v>
      </c>
      <c r="L41" s="7">
        <v>12.28</v>
      </c>
      <c r="M41" s="8">
        <v>0.29699999999999999</v>
      </c>
      <c r="N41" s="10">
        <v>80895</v>
      </c>
      <c r="O41" s="7">
        <v>187.29</v>
      </c>
      <c r="P41" s="7">
        <f t="array" ref="P41">K41*O41</f>
        <v>3271.9562999999998</v>
      </c>
      <c r="Q41" s="7">
        <f t="array" ref="Q41">L41*O41</f>
        <v>2299.9211999999998</v>
      </c>
      <c r="R41" s="7">
        <f t="array" ref="R41">N41*K41</f>
        <v>1413235.65</v>
      </c>
      <c r="S41" s="7">
        <f t="array" ref="S41">N41*K41*O41</f>
        <v>264684904.88849998</v>
      </c>
    </row>
    <row r="42" spans="1:19" ht="14.25" customHeight="1" x14ac:dyDescent="0.3">
      <c r="A42">
        <v>41</v>
      </c>
      <c r="B42" s="12">
        <v>44958</v>
      </c>
      <c r="C42" s="5">
        <v>2023</v>
      </c>
      <c r="D42" s="5" t="s">
        <v>42</v>
      </c>
      <c r="E42" s="5" t="s">
        <v>68</v>
      </c>
      <c r="F42" s="6" t="s">
        <v>44</v>
      </c>
      <c r="G42" s="6" t="s">
        <v>21</v>
      </c>
      <c r="H42" s="9" t="s">
        <v>38</v>
      </c>
      <c r="I42" s="9" t="s">
        <v>29</v>
      </c>
      <c r="J42" s="9" t="s">
        <v>31</v>
      </c>
      <c r="K42" s="7">
        <v>6.17</v>
      </c>
      <c r="L42" s="7">
        <v>3.69</v>
      </c>
      <c r="M42" s="8">
        <v>0.40200000000000002</v>
      </c>
      <c r="N42" s="10">
        <v>112292</v>
      </c>
      <c r="O42" s="7">
        <v>187.29</v>
      </c>
      <c r="P42" s="7">
        <f t="array" ref="P42">K42*O42</f>
        <v>1155.5792999999999</v>
      </c>
      <c r="Q42" s="7">
        <f t="array" ref="Q42">L42*O42</f>
        <v>691.1001</v>
      </c>
      <c r="R42" s="7">
        <f t="array" ref="R42">N42*K42</f>
        <v>692841.64</v>
      </c>
      <c r="S42" s="7">
        <f t="array" ref="S42">N42*K42*O42</f>
        <v>129762310.75559999</v>
      </c>
    </row>
    <row r="43" spans="1:19" ht="14.25" customHeight="1" x14ac:dyDescent="0.3">
      <c r="A43">
        <v>42</v>
      </c>
      <c r="B43" s="12">
        <v>44986</v>
      </c>
      <c r="C43" s="5">
        <v>2023</v>
      </c>
      <c r="D43" s="5" t="s">
        <v>18</v>
      </c>
      <c r="E43" s="5" t="s">
        <v>19</v>
      </c>
      <c r="F43" s="6" t="s">
        <v>54</v>
      </c>
      <c r="G43" s="6" t="s">
        <v>36</v>
      </c>
      <c r="H43" s="9" t="s">
        <v>28</v>
      </c>
      <c r="I43" s="9" t="s">
        <v>29</v>
      </c>
      <c r="J43" s="9" t="s">
        <v>22</v>
      </c>
      <c r="K43" s="7">
        <v>9.3000000000000007</v>
      </c>
      <c r="L43" s="7">
        <v>5.51</v>
      </c>
      <c r="M43" s="8">
        <v>0.40799999999999997</v>
      </c>
      <c r="N43" s="10">
        <v>67115</v>
      </c>
      <c r="O43" s="7">
        <v>197.57</v>
      </c>
      <c r="P43" s="7">
        <f t="array" ref="P43">K43*O43</f>
        <v>1837.4010000000001</v>
      </c>
      <c r="Q43" s="7">
        <f t="array" ref="Q43">L43*O43</f>
        <v>1088.6107</v>
      </c>
      <c r="R43" s="7">
        <f t="array" ref="R43">N43*K43</f>
        <v>624169.5</v>
      </c>
      <c r="S43" s="7">
        <f t="array" ref="S43">N43*K43*O43</f>
        <v>123317168.11499999</v>
      </c>
    </row>
    <row r="44" spans="1:19" ht="14.25" customHeight="1" x14ac:dyDescent="0.3">
      <c r="A44">
        <v>43</v>
      </c>
      <c r="B44" s="12">
        <v>44986</v>
      </c>
      <c r="C44" s="5">
        <v>2023</v>
      </c>
      <c r="D44" s="5" t="s">
        <v>33</v>
      </c>
      <c r="E44" s="5" t="s">
        <v>57</v>
      </c>
      <c r="F44" s="6" t="s">
        <v>35</v>
      </c>
      <c r="G44" s="6" t="s">
        <v>21</v>
      </c>
      <c r="H44" s="9" t="s">
        <v>23</v>
      </c>
      <c r="I44" s="9" t="s">
        <v>46</v>
      </c>
      <c r="J44" s="9" t="s">
        <v>49</v>
      </c>
      <c r="K44" s="7">
        <v>9.91</v>
      </c>
      <c r="L44" s="7">
        <v>7.58</v>
      </c>
      <c r="M44" s="8">
        <v>0.23499999999999999</v>
      </c>
      <c r="N44" s="10">
        <v>143668</v>
      </c>
      <c r="O44" s="7">
        <v>197.57</v>
      </c>
      <c r="P44" s="7">
        <f t="array" ref="P44">K44*O44</f>
        <v>1957.9186999999999</v>
      </c>
      <c r="Q44" s="7">
        <f t="array" ref="Q44">L44*O44</f>
        <v>1497.5806</v>
      </c>
      <c r="R44" s="7">
        <f t="array" ref="R44">N44*K44</f>
        <v>1423749.8800000001</v>
      </c>
      <c r="S44" s="7">
        <f t="array" ref="S44">N44*K44*O44</f>
        <v>281290263.79159999</v>
      </c>
    </row>
    <row r="45" spans="1:19" ht="14.25" customHeight="1" x14ac:dyDescent="0.3">
      <c r="A45">
        <v>44</v>
      </c>
      <c r="B45" s="12">
        <v>44986</v>
      </c>
      <c r="C45" s="5">
        <v>2023</v>
      </c>
      <c r="D45" s="5" t="s">
        <v>50</v>
      </c>
      <c r="E45" s="5" t="s">
        <v>60</v>
      </c>
      <c r="F45" s="6" t="s">
        <v>62</v>
      </c>
      <c r="G45" s="6" t="s">
        <v>21</v>
      </c>
      <c r="H45" s="9" t="s">
        <v>38</v>
      </c>
      <c r="I45" s="9" t="s">
        <v>32</v>
      </c>
      <c r="J45" s="9" t="s">
        <v>31</v>
      </c>
      <c r="K45" s="7">
        <v>8.09</v>
      </c>
      <c r="L45" s="7">
        <v>4.45</v>
      </c>
      <c r="M45" s="8">
        <v>0.45</v>
      </c>
      <c r="N45" s="10">
        <v>205159</v>
      </c>
      <c r="O45" s="7">
        <v>197.57</v>
      </c>
      <c r="P45" s="7">
        <f t="array" ref="P45">K45*O45</f>
        <v>1598.3412999999998</v>
      </c>
      <c r="Q45" s="7">
        <f t="array" ref="Q45">L45*O45</f>
        <v>879.18650000000002</v>
      </c>
      <c r="R45" s="7">
        <f t="array" ref="R45">N45*K45</f>
        <v>1659736.31</v>
      </c>
      <c r="S45" s="7">
        <f t="array" ref="S45">N45*K45*O45</f>
        <v>327914102.76670003</v>
      </c>
    </row>
    <row r="46" spans="1:19" ht="14.25" customHeight="1" x14ac:dyDescent="0.3">
      <c r="A46">
        <v>45</v>
      </c>
      <c r="B46" s="12">
        <v>44986</v>
      </c>
      <c r="C46" s="5">
        <v>2023</v>
      </c>
      <c r="D46" s="5" t="s">
        <v>33</v>
      </c>
      <c r="E46" s="5" t="s">
        <v>57</v>
      </c>
      <c r="F46" s="6" t="s">
        <v>20</v>
      </c>
      <c r="G46" s="6" t="s">
        <v>21</v>
      </c>
      <c r="H46" s="9" t="s">
        <v>28</v>
      </c>
      <c r="I46" s="9" t="s">
        <v>32</v>
      </c>
      <c r="J46" s="9" t="s">
        <v>31</v>
      </c>
      <c r="K46" s="7">
        <v>15.27</v>
      </c>
      <c r="L46" s="7">
        <v>9.86</v>
      </c>
      <c r="M46" s="8">
        <v>0.35399999999999998</v>
      </c>
      <c r="N46" s="10">
        <v>60417</v>
      </c>
      <c r="O46" s="7">
        <v>197.57</v>
      </c>
      <c r="P46" s="7">
        <f t="array" ref="P46">K46*O46</f>
        <v>3016.8939</v>
      </c>
      <c r="Q46" s="7">
        <f t="array" ref="Q46">L46*O46</f>
        <v>1948.0401999999999</v>
      </c>
      <c r="R46" s="7">
        <f t="array" ref="R46">N46*K46</f>
        <v>922567.59</v>
      </c>
      <c r="S46" s="7">
        <f t="array" ref="S46">N46*K46*O46</f>
        <v>182271678.75629997</v>
      </c>
    </row>
    <row r="47" spans="1:19" ht="14.25" customHeight="1" x14ac:dyDescent="0.3">
      <c r="A47">
        <v>46</v>
      </c>
      <c r="B47" s="12">
        <v>44986</v>
      </c>
      <c r="C47" s="5">
        <v>2023</v>
      </c>
      <c r="D47" s="5" t="s">
        <v>25</v>
      </c>
      <c r="E47" s="5" t="s">
        <v>53</v>
      </c>
      <c r="F47" s="6" t="s">
        <v>27</v>
      </c>
      <c r="G47" s="6" t="s">
        <v>21</v>
      </c>
      <c r="H47" s="9" t="s">
        <v>38</v>
      </c>
      <c r="I47" s="9" t="s">
        <v>24</v>
      </c>
      <c r="J47" s="9" t="s">
        <v>22</v>
      </c>
      <c r="K47" s="7">
        <v>5.24</v>
      </c>
      <c r="L47" s="7">
        <v>4</v>
      </c>
      <c r="M47" s="8">
        <v>0.23699999999999999</v>
      </c>
      <c r="N47" s="10">
        <v>276265</v>
      </c>
      <c r="O47" s="7">
        <v>197.57</v>
      </c>
      <c r="P47" s="7">
        <f t="array" ref="P47">K47*O47</f>
        <v>1035.2668000000001</v>
      </c>
      <c r="Q47" s="7">
        <f t="array" ref="Q47">L47*O47</f>
        <v>790.28</v>
      </c>
      <c r="R47" s="7">
        <f t="array" ref="R47">N47*K47</f>
        <v>1447628.6</v>
      </c>
      <c r="S47" s="7">
        <f t="array" ref="S47">N47*K47*O47</f>
        <v>286007982.50200003</v>
      </c>
    </row>
    <row r="48" spans="1:19" ht="14.25" customHeight="1" x14ac:dyDescent="0.3">
      <c r="A48">
        <v>47</v>
      </c>
      <c r="B48" s="12">
        <v>44986</v>
      </c>
      <c r="C48" s="5">
        <v>2023</v>
      </c>
      <c r="D48" s="5" t="s">
        <v>33</v>
      </c>
      <c r="E48" s="5" t="s">
        <v>57</v>
      </c>
      <c r="F48" s="6" t="s">
        <v>20</v>
      </c>
      <c r="G48" s="6" t="s">
        <v>21</v>
      </c>
      <c r="H48" s="9" t="s">
        <v>23</v>
      </c>
      <c r="I48" s="9" t="s">
        <v>32</v>
      </c>
      <c r="J48" s="9" t="s">
        <v>31</v>
      </c>
      <c r="K48" s="7">
        <v>16.760000000000002</v>
      </c>
      <c r="L48" s="7">
        <v>10.79</v>
      </c>
      <c r="M48" s="8">
        <v>0.35599999999999998</v>
      </c>
      <c r="N48" s="10">
        <v>298069</v>
      </c>
      <c r="O48" s="7">
        <v>197.57</v>
      </c>
      <c r="P48" s="7">
        <f t="array" ref="P48">K48*O48</f>
        <v>3311.2732000000001</v>
      </c>
      <c r="Q48" s="7">
        <f t="array" ref="Q48">L48*O48</f>
        <v>2131.7802999999999</v>
      </c>
      <c r="R48" s="7">
        <f t="array" ref="R48">N48*K48</f>
        <v>4995636.4400000004</v>
      </c>
      <c r="S48" s="7">
        <f t="array" ref="S48">N48*K48*O48</f>
        <v>986987891.45080006</v>
      </c>
    </row>
    <row r="49" spans="1:19" ht="14.25" customHeight="1" x14ac:dyDescent="0.3">
      <c r="A49">
        <v>48</v>
      </c>
      <c r="B49" s="12">
        <v>44986</v>
      </c>
      <c r="C49" s="5">
        <v>2023</v>
      </c>
      <c r="D49" s="5" t="s">
        <v>42</v>
      </c>
      <c r="E49" s="5" t="s">
        <v>43</v>
      </c>
      <c r="F49" s="6" t="s">
        <v>69</v>
      </c>
      <c r="G49" s="6" t="s">
        <v>21</v>
      </c>
      <c r="H49" s="9" t="s">
        <v>23</v>
      </c>
      <c r="I49" s="9" t="s">
        <v>24</v>
      </c>
      <c r="J49" s="9" t="s">
        <v>22</v>
      </c>
      <c r="K49" s="7">
        <v>16.46</v>
      </c>
      <c r="L49" s="7">
        <v>11.18</v>
      </c>
      <c r="M49" s="8">
        <v>0.32100000000000001</v>
      </c>
      <c r="N49" s="10">
        <v>297877</v>
      </c>
      <c r="O49" s="7">
        <v>197.57</v>
      </c>
      <c r="P49" s="7">
        <f t="array" ref="P49">K49*O49</f>
        <v>3252.0021999999999</v>
      </c>
      <c r="Q49" s="7">
        <f t="array" ref="Q49">L49*O49</f>
        <v>2208.8325999999997</v>
      </c>
      <c r="R49" s="7">
        <f t="array" ref="R49">N49*K49</f>
        <v>4903055.42</v>
      </c>
      <c r="S49" s="7">
        <f t="array" ref="S49">N49*K49*O49</f>
        <v>968696659.32939994</v>
      </c>
    </row>
    <row r="50" spans="1:19" ht="14.25" customHeight="1" x14ac:dyDescent="0.3">
      <c r="A50">
        <v>49</v>
      </c>
      <c r="B50" s="12">
        <v>44986</v>
      </c>
      <c r="C50" s="5">
        <v>2023</v>
      </c>
      <c r="D50" s="5" t="s">
        <v>50</v>
      </c>
      <c r="E50" s="5" t="s">
        <v>60</v>
      </c>
      <c r="F50" s="6" t="s">
        <v>52</v>
      </c>
      <c r="G50" s="6" t="s">
        <v>21</v>
      </c>
      <c r="H50" s="9" t="s">
        <v>38</v>
      </c>
      <c r="I50" s="9" t="s">
        <v>24</v>
      </c>
      <c r="J50" s="9" t="s">
        <v>31</v>
      </c>
      <c r="K50" s="7">
        <v>8.6</v>
      </c>
      <c r="L50" s="7">
        <v>6.58</v>
      </c>
      <c r="M50" s="8">
        <v>0.23499999999999999</v>
      </c>
      <c r="N50" s="10">
        <v>282694</v>
      </c>
      <c r="O50" s="7">
        <v>197.57</v>
      </c>
      <c r="P50" s="7">
        <f t="array" ref="P50">K50*O50</f>
        <v>1699.1019999999999</v>
      </c>
      <c r="Q50" s="7">
        <f t="array" ref="Q50">L50*O50</f>
        <v>1300.0106000000001</v>
      </c>
      <c r="R50" s="7">
        <f t="array" ref="R50">N50*K50</f>
        <v>2431168.4</v>
      </c>
      <c r="S50" s="7">
        <f t="array" ref="S50">N50*K50*O50</f>
        <v>480325940.78799999</v>
      </c>
    </row>
    <row r="51" spans="1:19" ht="14.25" customHeight="1" x14ac:dyDescent="0.3">
      <c r="A51">
        <v>50</v>
      </c>
      <c r="B51" s="12">
        <v>44986</v>
      </c>
      <c r="C51" s="5">
        <v>2023</v>
      </c>
      <c r="D51" s="5" t="s">
        <v>25</v>
      </c>
      <c r="E51" s="5" t="s">
        <v>70</v>
      </c>
      <c r="F51" s="6" t="s">
        <v>27</v>
      </c>
      <c r="G51" s="6" t="s">
        <v>21</v>
      </c>
      <c r="H51" s="9" t="s">
        <v>28</v>
      </c>
      <c r="I51" s="9" t="s">
        <v>32</v>
      </c>
      <c r="J51" s="9" t="s">
        <v>49</v>
      </c>
      <c r="K51" s="7">
        <v>9.9600000000000009</v>
      </c>
      <c r="L51" s="7">
        <v>7.68</v>
      </c>
      <c r="M51" s="8">
        <v>0.22900000000000001</v>
      </c>
      <c r="N51" s="10">
        <v>149035</v>
      </c>
      <c r="O51" s="7">
        <v>197.57</v>
      </c>
      <c r="P51" s="7">
        <f t="array" ref="P51">K51*O51</f>
        <v>1967.7972000000002</v>
      </c>
      <c r="Q51" s="7">
        <f t="array" ref="Q51">L51*O51</f>
        <v>1517.3375999999998</v>
      </c>
      <c r="R51" s="7">
        <f t="array" ref="R51">N51*K51</f>
        <v>1484388.6</v>
      </c>
      <c r="S51" s="7">
        <f t="array" ref="S51">N51*K51*O51</f>
        <v>293270655.70200002</v>
      </c>
    </row>
    <row r="52" spans="1:19" ht="14.25" customHeight="1" x14ac:dyDescent="0.3">
      <c r="A52">
        <v>51</v>
      </c>
      <c r="B52" s="12">
        <v>44986</v>
      </c>
      <c r="C52" s="5">
        <v>2023</v>
      </c>
      <c r="D52" s="5" t="s">
        <v>50</v>
      </c>
      <c r="E52" s="5" t="s">
        <v>60</v>
      </c>
      <c r="F52" s="6" t="s">
        <v>62</v>
      </c>
      <c r="G52" s="6" t="s">
        <v>36</v>
      </c>
      <c r="H52" s="9" t="s">
        <v>23</v>
      </c>
      <c r="I52" s="9" t="s">
        <v>32</v>
      </c>
      <c r="J52" s="9" t="s">
        <v>31</v>
      </c>
      <c r="K52" s="7">
        <v>9.7899999999999991</v>
      </c>
      <c r="L52" s="7">
        <v>5.26</v>
      </c>
      <c r="M52" s="8">
        <v>0.46300000000000002</v>
      </c>
      <c r="N52" s="10">
        <v>225722</v>
      </c>
      <c r="O52" s="7">
        <v>197.57</v>
      </c>
      <c r="P52" s="7">
        <f t="array" ref="P52">K52*O52</f>
        <v>1934.2102999999997</v>
      </c>
      <c r="Q52" s="7">
        <f t="array" ref="Q52">L52*O52</f>
        <v>1039.2182</v>
      </c>
      <c r="R52" s="7">
        <f t="array" ref="R52">N52*K52</f>
        <v>2209818.38</v>
      </c>
      <c r="S52" s="7">
        <f t="array" ref="S52">N52*K52*O52</f>
        <v>436593817.33659995</v>
      </c>
    </row>
    <row r="53" spans="1:19" ht="14.25" customHeight="1" x14ac:dyDescent="0.3">
      <c r="A53">
        <v>52</v>
      </c>
      <c r="B53" s="12">
        <v>44986</v>
      </c>
      <c r="C53" s="5">
        <v>2023</v>
      </c>
      <c r="D53" s="5" t="s">
        <v>25</v>
      </c>
      <c r="E53" s="5" t="s">
        <v>26</v>
      </c>
      <c r="F53" s="6" t="s">
        <v>30</v>
      </c>
      <c r="G53" s="6" t="s">
        <v>64</v>
      </c>
      <c r="H53" s="9" t="s">
        <v>23</v>
      </c>
      <c r="I53" s="9" t="s">
        <v>24</v>
      </c>
      <c r="J53" s="9" t="s">
        <v>22</v>
      </c>
      <c r="K53" s="7">
        <v>14.12</v>
      </c>
      <c r="L53" s="7">
        <v>9.81</v>
      </c>
      <c r="M53" s="8">
        <v>0.30499999999999999</v>
      </c>
      <c r="N53" s="10">
        <v>261398</v>
      </c>
      <c r="O53" s="7">
        <v>197.57</v>
      </c>
      <c r="P53" s="7">
        <f t="array" ref="P53">K53*O53</f>
        <v>2789.6883999999995</v>
      </c>
      <c r="Q53" s="7">
        <f t="array" ref="Q53">L53*O53</f>
        <v>1938.1617000000001</v>
      </c>
      <c r="R53" s="7">
        <f t="array" ref="R53">N53*K53</f>
        <v>3690939.76</v>
      </c>
      <c r="S53" s="7">
        <f t="array" ref="S53">N53*K53*O53</f>
        <v>729218968.38319993</v>
      </c>
    </row>
    <row r="54" spans="1:19" ht="14.25" customHeight="1" x14ac:dyDescent="0.3">
      <c r="A54">
        <v>53</v>
      </c>
      <c r="B54" s="12">
        <v>44986</v>
      </c>
      <c r="C54" s="5">
        <v>2023</v>
      </c>
      <c r="D54" s="5" t="s">
        <v>18</v>
      </c>
      <c r="E54" s="5" t="s">
        <v>19</v>
      </c>
      <c r="F54" s="6" t="s">
        <v>55</v>
      </c>
      <c r="G54" s="6" t="s">
        <v>21</v>
      </c>
      <c r="H54" s="9" t="s">
        <v>28</v>
      </c>
      <c r="I54" s="9" t="s">
        <v>46</v>
      </c>
      <c r="J54" s="9" t="s">
        <v>31</v>
      </c>
      <c r="K54" s="7">
        <v>11.01</v>
      </c>
      <c r="L54" s="7">
        <v>7.62</v>
      </c>
      <c r="M54" s="8">
        <v>0.308</v>
      </c>
      <c r="N54" s="10">
        <v>119498</v>
      </c>
      <c r="O54" s="7">
        <v>197.57</v>
      </c>
      <c r="P54" s="7">
        <f t="array" ref="P54">K54*O54</f>
        <v>2175.2456999999999</v>
      </c>
      <c r="Q54" s="7">
        <f t="array" ref="Q54">L54*O54</f>
        <v>1505.4834000000001</v>
      </c>
      <c r="R54" s="7">
        <f t="array" ref="R54">N54*K54</f>
        <v>1315672.98</v>
      </c>
      <c r="S54" s="7">
        <f t="array" ref="S54">N54*K54*O54</f>
        <v>259937510.65859997</v>
      </c>
    </row>
    <row r="55" spans="1:19" ht="14.25" customHeight="1" x14ac:dyDescent="0.3">
      <c r="A55">
        <v>54</v>
      </c>
      <c r="B55" s="12">
        <v>44986</v>
      </c>
      <c r="C55" s="5">
        <v>2023</v>
      </c>
      <c r="D55" s="5" t="s">
        <v>25</v>
      </c>
      <c r="E55" s="5" t="s">
        <v>53</v>
      </c>
      <c r="F55" s="6" t="s">
        <v>30</v>
      </c>
      <c r="G55" s="6" t="s">
        <v>21</v>
      </c>
      <c r="H55" s="9" t="s">
        <v>28</v>
      </c>
      <c r="I55" s="9" t="s">
        <v>46</v>
      </c>
      <c r="J55" s="9" t="s">
        <v>31</v>
      </c>
      <c r="K55" s="7">
        <v>11.67</v>
      </c>
      <c r="L55" s="7">
        <v>7.8</v>
      </c>
      <c r="M55" s="8">
        <v>0.33200000000000002</v>
      </c>
      <c r="N55" s="10">
        <v>292144</v>
      </c>
      <c r="O55" s="7">
        <v>197.57</v>
      </c>
      <c r="P55" s="7">
        <f t="array" ref="P55">K55*O55</f>
        <v>2305.6419000000001</v>
      </c>
      <c r="Q55" s="7">
        <f t="array" ref="Q55">L55*O55</f>
        <v>1541.0459999999998</v>
      </c>
      <c r="R55" s="7">
        <f t="array" ref="R55">N55*K55</f>
        <v>3409320.48</v>
      </c>
      <c r="S55" s="7">
        <f t="array" ref="S55">N55*K55*O55</f>
        <v>673579447.23360002</v>
      </c>
    </row>
    <row r="56" spans="1:19" ht="14.25" customHeight="1" x14ac:dyDescent="0.3">
      <c r="A56">
        <v>55</v>
      </c>
      <c r="B56" s="12">
        <v>44986</v>
      </c>
      <c r="C56" s="5">
        <v>2023</v>
      </c>
      <c r="D56" s="5" t="s">
        <v>25</v>
      </c>
      <c r="E56" s="5" t="s">
        <v>26</v>
      </c>
      <c r="F56" s="6" t="s">
        <v>27</v>
      </c>
      <c r="G56" s="6" t="s">
        <v>21</v>
      </c>
      <c r="H56" s="9" t="s">
        <v>23</v>
      </c>
      <c r="I56" s="9" t="s">
        <v>24</v>
      </c>
      <c r="J56" s="9" t="s">
        <v>49</v>
      </c>
      <c r="K56" s="7">
        <v>7.25</v>
      </c>
      <c r="L56" s="7">
        <v>4.41</v>
      </c>
      <c r="M56" s="8">
        <v>0.39200000000000002</v>
      </c>
      <c r="N56" s="10">
        <v>295007</v>
      </c>
      <c r="O56" s="7">
        <v>197.57</v>
      </c>
      <c r="P56" s="7">
        <f t="array" ref="P56">K56*O56</f>
        <v>1432.3824999999999</v>
      </c>
      <c r="Q56" s="7">
        <f t="array" ref="Q56">L56*O56</f>
        <v>871.28369999999995</v>
      </c>
      <c r="R56" s="7">
        <f t="array" ref="R56">N56*K56</f>
        <v>2138800.75</v>
      </c>
      <c r="S56" s="7">
        <f t="array" ref="S56">N56*K56*O56</f>
        <v>422562864.17750001</v>
      </c>
    </row>
    <row r="57" spans="1:19" ht="14.25" customHeight="1" x14ac:dyDescent="0.3">
      <c r="A57">
        <v>56</v>
      </c>
      <c r="B57" s="12">
        <v>44986</v>
      </c>
      <c r="C57" s="5">
        <v>2023</v>
      </c>
      <c r="D57" s="5" t="s">
        <v>33</v>
      </c>
      <c r="E57" s="5" t="s">
        <v>37</v>
      </c>
      <c r="F57" s="6" t="s">
        <v>20</v>
      </c>
      <c r="G57" s="6" t="s">
        <v>21</v>
      </c>
      <c r="H57" s="9" t="s">
        <v>23</v>
      </c>
      <c r="I57" s="9" t="s">
        <v>46</v>
      </c>
      <c r="J57" s="9" t="s">
        <v>49</v>
      </c>
      <c r="K57" s="7">
        <v>5.33</v>
      </c>
      <c r="L57" s="7">
        <v>3.65</v>
      </c>
      <c r="M57" s="8">
        <v>0.315</v>
      </c>
      <c r="N57" s="10">
        <v>121822</v>
      </c>
      <c r="O57" s="7">
        <v>197.57</v>
      </c>
      <c r="P57" s="7">
        <f t="array" ref="P57">K57*O57</f>
        <v>1053.0481</v>
      </c>
      <c r="Q57" s="7">
        <f t="array" ref="Q57">L57*O57</f>
        <v>721.13049999999998</v>
      </c>
      <c r="R57" s="7">
        <f t="array" ref="R57">N57*K57</f>
        <v>649311.26</v>
      </c>
      <c r="S57" s="7">
        <f t="array" ref="S57">N57*K57*O57</f>
        <v>128284425.6382</v>
      </c>
    </row>
    <row r="58" spans="1:19" ht="14.25" customHeight="1" x14ac:dyDescent="0.3">
      <c r="A58">
        <v>57</v>
      </c>
      <c r="B58" s="12">
        <v>44986</v>
      </c>
      <c r="C58" s="5">
        <v>2023</v>
      </c>
      <c r="D58" s="5" t="s">
        <v>18</v>
      </c>
      <c r="E58" s="5" t="s">
        <v>19</v>
      </c>
      <c r="F58" s="6" t="s">
        <v>55</v>
      </c>
      <c r="G58" s="6" t="s">
        <v>21</v>
      </c>
      <c r="H58" s="9" t="s">
        <v>23</v>
      </c>
      <c r="I58" s="9" t="s">
        <v>24</v>
      </c>
      <c r="J58" s="9" t="s">
        <v>49</v>
      </c>
      <c r="K58" s="7">
        <v>7.95</v>
      </c>
      <c r="L58" s="7">
        <v>6.01</v>
      </c>
      <c r="M58" s="8">
        <v>0.24399999999999999</v>
      </c>
      <c r="N58" s="10">
        <v>261988</v>
      </c>
      <c r="O58" s="7">
        <v>197.57</v>
      </c>
      <c r="P58" s="7">
        <f t="array" ref="P58">K58*O58</f>
        <v>1570.6814999999999</v>
      </c>
      <c r="Q58" s="7">
        <f t="array" ref="Q58">L58*O58</f>
        <v>1187.3956999999998</v>
      </c>
      <c r="R58" s="7">
        <f t="array" ref="R58">N58*K58</f>
        <v>2082804.6</v>
      </c>
      <c r="S58" s="7">
        <f t="array" ref="S58">N58*K58*O58</f>
        <v>411499704.82200003</v>
      </c>
    </row>
    <row r="59" spans="1:19" ht="14.25" customHeight="1" x14ac:dyDescent="0.3">
      <c r="A59">
        <v>58</v>
      </c>
      <c r="B59" s="12">
        <v>44986</v>
      </c>
      <c r="C59" s="5">
        <v>2023</v>
      </c>
      <c r="D59" s="5" t="s">
        <v>33</v>
      </c>
      <c r="E59" s="5" t="s">
        <v>37</v>
      </c>
      <c r="F59" s="6" t="s">
        <v>35</v>
      </c>
      <c r="G59" s="6" t="s">
        <v>36</v>
      </c>
      <c r="H59" s="9" t="s">
        <v>23</v>
      </c>
      <c r="I59" s="9" t="s">
        <v>32</v>
      </c>
      <c r="J59" s="9" t="s">
        <v>31</v>
      </c>
      <c r="K59" s="7">
        <v>9.81</v>
      </c>
      <c r="L59" s="7">
        <v>5.16</v>
      </c>
      <c r="M59" s="8">
        <v>0.47399999999999998</v>
      </c>
      <c r="N59" s="10">
        <v>108363</v>
      </c>
      <c r="O59" s="7">
        <v>197.57</v>
      </c>
      <c r="P59" s="7">
        <f t="array" ref="P59">K59*O59</f>
        <v>1938.1617000000001</v>
      </c>
      <c r="Q59" s="7">
        <f t="array" ref="Q59">L59*O59</f>
        <v>1019.4612</v>
      </c>
      <c r="R59" s="7">
        <f t="array" ref="R59">N59*K59</f>
        <v>1063041.03</v>
      </c>
      <c r="S59" s="7">
        <f t="array" ref="S59">N59*K59*O59</f>
        <v>210025016.29710001</v>
      </c>
    </row>
    <row r="60" spans="1:19" ht="14.25" customHeight="1" x14ac:dyDescent="0.3">
      <c r="A60">
        <v>59</v>
      </c>
      <c r="B60" s="12">
        <v>44986</v>
      </c>
      <c r="C60" s="5">
        <v>2023</v>
      </c>
      <c r="D60" s="5" t="s">
        <v>25</v>
      </c>
      <c r="E60" s="5" t="s">
        <v>53</v>
      </c>
      <c r="F60" s="6" t="s">
        <v>27</v>
      </c>
      <c r="G60" s="6" t="s">
        <v>21</v>
      </c>
      <c r="H60" s="9" t="s">
        <v>28</v>
      </c>
      <c r="I60" s="9" t="s">
        <v>24</v>
      </c>
      <c r="J60" s="9" t="s">
        <v>49</v>
      </c>
      <c r="K60" s="7">
        <v>5.78</v>
      </c>
      <c r="L60" s="7">
        <v>3.67</v>
      </c>
      <c r="M60" s="8">
        <v>0.36499999999999999</v>
      </c>
      <c r="N60" s="10">
        <v>150874</v>
      </c>
      <c r="O60" s="7">
        <v>197.57</v>
      </c>
      <c r="P60" s="7">
        <f t="array" ref="P60">K60*O60</f>
        <v>1141.9546</v>
      </c>
      <c r="Q60" s="7">
        <f t="array" ref="Q60">L60*O60</f>
        <v>725.08189999999991</v>
      </c>
      <c r="R60" s="7">
        <f t="array" ref="R60">N60*K60</f>
        <v>872051.72000000009</v>
      </c>
      <c r="S60" s="7">
        <f t="array" ref="S60">N60*K60*O60</f>
        <v>172291258.3204</v>
      </c>
    </row>
    <row r="61" spans="1:19" ht="14.25" customHeight="1" x14ac:dyDescent="0.3">
      <c r="A61">
        <v>60</v>
      </c>
      <c r="B61" s="12">
        <v>44986</v>
      </c>
      <c r="C61" s="5">
        <v>2023</v>
      </c>
      <c r="D61" s="5" t="s">
        <v>50</v>
      </c>
      <c r="E61" s="5" t="s">
        <v>51</v>
      </c>
      <c r="F61" s="6" t="s">
        <v>62</v>
      </c>
      <c r="G61" s="6" t="s">
        <v>36</v>
      </c>
      <c r="H61" s="9" t="s">
        <v>38</v>
      </c>
      <c r="I61" s="9" t="s">
        <v>46</v>
      </c>
      <c r="J61" s="9" t="s">
        <v>22</v>
      </c>
      <c r="K61" s="7">
        <v>6.43</v>
      </c>
      <c r="L61" s="7">
        <v>4.1900000000000004</v>
      </c>
      <c r="M61" s="8">
        <v>0.34799999999999998</v>
      </c>
      <c r="N61" s="10">
        <v>221566</v>
      </c>
      <c r="O61" s="7">
        <v>197.57</v>
      </c>
      <c r="P61" s="7">
        <f t="array" ref="P61">K61*O61</f>
        <v>1270.3751</v>
      </c>
      <c r="Q61" s="7">
        <f t="array" ref="Q61">L61*O61</f>
        <v>827.81830000000002</v>
      </c>
      <c r="R61" s="7">
        <f t="array" ref="R61">N61*K61</f>
        <v>1424669.38</v>
      </c>
      <c r="S61" s="7">
        <f t="array" ref="S61">N61*K61*O61</f>
        <v>281471929.40659994</v>
      </c>
    </row>
    <row r="62" spans="1:19" ht="14.25" customHeight="1" x14ac:dyDescent="0.3">
      <c r="A62">
        <v>61</v>
      </c>
      <c r="B62" s="12">
        <v>44986</v>
      </c>
      <c r="C62" s="5">
        <v>2023</v>
      </c>
      <c r="D62" s="5" t="s">
        <v>33</v>
      </c>
      <c r="E62" s="5" t="s">
        <v>57</v>
      </c>
      <c r="F62" s="6" t="s">
        <v>47</v>
      </c>
      <c r="G62" s="6" t="s">
        <v>36</v>
      </c>
      <c r="H62" s="9" t="s">
        <v>38</v>
      </c>
      <c r="I62" s="9" t="s">
        <v>32</v>
      </c>
      <c r="J62" s="9" t="s">
        <v>31</v>
      </c>
      <c r="K62" s="7">
        <v>13.69</v>
      </c>
      <c r="L62" s="7">
        <v>10.41</v>
      </c>
      <c r="M62" s="8">
        <v>0.24</v>
      </c>
      <c r="N62" s="10">
        <v>205316</v>
      </c>
      <c r="O62" s="7">
        <v>197.57</v>
      </c>
      <c r="P62" s="7">
        <f t="array" ref="P62">K62*O62</f>
        <v>2704.7332999999999</v>
      </c>
      <c r="Q62" s="7">
        <f t="array" ref="Q62">L62*O62</f>
        <v>2056.7037</v>
      </c>
      <c r="R62" s="7">
        <f t="array" ref="R62">N62*K62</f>
        <v>2810776.04</v>
      </c>
      <c r="S62" s="7">
        <f t="array" ref="S62">N62*K62*O62</f>
        <v>555325022.22280002</v>
      </c>
    </row>
    <row r="63" spans="1:19" ht="14.25" customHeight="1" x14ac:dyDescent="0.3">
      <c r="A63">
        <v>62</v>
      </c>
      <c r="B63" s="12">
        <v>45017</v>
      </c>
      <c r="C63" s="5">
        <v>2023</v>
      </c>
      <c r="D63" s="5" t="s">
        <v>33</v>
      </c>
      <c r="E63" s="5" t="s">
        <v>57</v>
      </c>
      <c r="F63" s="6" t="s">
        <v>20</v>
      </c>
      <c r="G63" s="6" t="s">
        <v>21</v>
      </c>
      <c r="H63" s="9" t="s">
        <v>23</v>
      </c>
      <c r="I63" s="9" t="s">
        <v>24</v>
      </c>
      <c r="J63" s="9" t="s">
        <v>22</v>
      </c>
      <c r="K63" s="7">
        <v>16.170000000000002</v>
      </c>
      <c r="L63" s="7">
        <v>9.7100000000000009</v>
      </c>
      <c r="M63" s="8">
        <v>0.4</v>
      </c>
      <c r="N63" s="10">
        <v>170098</v>
      </c>
      <c r="O63" s="7">
        <v>210.35</v>
      </c>
      <c r="P63" s="7">
        <f t="array" ref="P63">K63*O63</f>
        <v>3401.3595000000005</v>
      </c>
      <c r="Q63" s="7">
        <f t="array" ref="Q63">L63*O63</f>
        <v>2042.4985000000001</v>
      </c>
      <c r="R63" s="7">
        <f t="array" ref="R63">N63*K63</f>
        <v>2750484.66</v>
      </c>
      <c r="S63" s="7">
        <f t="array" ref="S63">N63*K63*O63</f>
        <v>578564448.23100007</v>
      </c>
    </row>
    <row r="64" spans="1:19" ht="14.25" customHeight="1" x14ac:dyDescent="0.3">
      <c r="A64">
        <v>63</v>
      </c>
      <c r="B64" s="12">
        <v>45017</v>
      </c>
      <c r="C64" s="5">
        <v>2023</v>
      </c>
      <c r="D64" s="5" t="s">
        <v>50</v>
      </c>
      <c r="E64" s="5" t="s">
        <v>60</v>
      </c>
      <c r="F64" s="6" t="s">
        <v>52</v>
      </c>
      <c r="G64" s="6" t="s">
        <v>21</v>
      </c>
      <c r="H64" s="9" t="s">
        <v>23</v>
      </c>
      <c r="I64" s="9" t="s">
        <v>32</v>
      </c>
      <c r="J64" s="9" t="s">
        <v>22</v>
      </c>
      <c r="K64" s="7">
        <v>8.73</v>
      </c>
      <c r="L64" s="7">
        <v>5.03</v>
      </c>
      <c r="M64" s="8">
        <v>0.42399999999999999</v>
      </c>
      <c r="N64" s="10">
        <v>205791</v>
      </c>
      <c r="O64" s="7">
        <v>210.35</v>
      </c>
      <c r="P64" s="7">
        <f t="array" ref="P64">K64*O64</f>
        <v>1836.3555000000001</v>
      </c>
      <c r="Q64" s="7">
        <f t="array" ref="Q64">L64*O64</f>
        <v>1058.0605</v>
      </c>
      <c r="R64" s="7">
        <f t="array" ref="R64">N64*K64</f>
        <v>1796555.4300000002</v>
      </c>
      <c r="S64" s="7">
        <f t="array" ref="S64">N64*K64*O64</f>
        <v>377905434.70050001</v>
      </c>
    </row>
    <row r="65" spans="1:19" ht="14.25" customHeight="1" x14ac:dyDescent="0.3">
      <c r="A65">
        <v>64</v>
      </c>
      <c r="B65" s="12">
        <v>45017</v>
      </c>
      <c r="C65" s="5">
        <v>2023</v>
      </c>
      <c r="D65" s="5" t="s">
        <v>42</v>
      </c>
      <c r="E65" s="5" t="s">
        <v>66</v>
      </c>
      <c r="F65" s="6" t="s">
        <v>44</v>
      </c>
      <c r="G65" s="6" t="s">
        <v>64</v>
      </c>
      <c r="H65" s="9" t="s">
        <v>28</v>
      </c>
      <c r="I65" s="9" t="s">
        <v>29</v>
      </c>
      <c r="J65" s="9" t="s">
        <v>49</v>
      </c>
      <c r="K65" s="7">
        <v>11.15</v>
      </c>
      <c r="L65" s="7">
        <v>6.55</v>
      </c>
      <c r="M65" s="8">
        <v>0.41299999999999998</v>
      </c>
      <c r="N65" s="10">
        <v>206701</v>
      </c>
      <c r="O65" s="7">
        <v>210.35</v>
      </c>
      <c r="P65" s="7">
        <f t="array" ref="P65">K65*O65</f>
        <v>2345.4025000000001</v>
      </c>
      <c r="Q65" s="7">
        <f t="array" ref="Q65">L65*O65</f>
        <v>1377.7925</v>
      </c>
      <c r="R65" s="7">
        <f t="array" ref="R65">N65*K65</f>
        <v>2304716.15</v>
      </c>
      <c r="S65" s="7">
        <f t="array" ref="S65">N65*K65*O65</f>
        <v>484797042.15249997</v>
      </c>
    </row>
    <row r="66" spans="1:19" ht="14.25" customHeight="1" x14ac:dyDescent="0.3">
      <c r="A66">
        <v>65</v>
      </c>
      <c r="B66" s="12">
        <v>45017</v>
      </c>
      <c r="C66" s="5">
        <v>2023</v>
      </c>
      <c r="D66" s="5" t="s">
        <v>42</v>
      </c>
      <c r="E66" s="5" t="s">
        <v>43</v>
      </c>
      <c r="F66" s="6" t="s">
        <v>45</v>
      </c>
      <c r="G66" s="6" t="s">
        <v>21</v>
      </c>
      <c r="H66" s="9" t="s">
        <v>23</v>
      </c>
      <c r="I66" s="9" t="s">
        <v>32</v>
      </c>
      <c r="J66" s="9" t="s">
        <v>22</v>
      </c>
      <c r="K66" s="7">
        <v>11.51</v>
      </c>
      <c r="L66" s="7">
        <v>7.92</v>
      </c>
      <c r="M66" s="8">
        <v>0.312</v>
      </c>
      <c r="N66" s="10">
        <v>178516</v>
      </c>
      <c r="O66" s="7">
        <v>210.35</v>
      </c>
      <c r="P66" s="7">
        <f t="array" ref="P66">K66*O66</f>
        <v>2421.1284999999998</v>
      </c>
      <c r="Q66" s="7">
        <f t="array" ref="Q66">L66*O66</f>
        <v>1665.972</v>
      </c>
      <c r="R66" s="7">
        <f t="array" ref="R66">N66*K66</f>
        <v>2054719.16</v>
      </c>
      <c r="S66" s="7">
        <f t="array" ref="S66">N66*K66*O66</f>
        <v>432210175.30599999</v>
      </c>
    </row>
    <row r="67" spans="1:19" ht="14.25" customHeight="1" x14ac:dyDescent="0.3">
      <c r="A67">
        <v>66</v>
      </c>
      <c r="B67" s="12">
        <v>45017</v>
      </c>
      <c r="C67" s="5">
        <v>2023</v>
      </c>
      <c r="D67" s="5" t="s">
        <v>50</v>
      </c>
      <c r="E67" s="5" t="s">
        <v>67</v>
      </c>
      <c r="F67" s="6" t="s">
        <v>52</v>
      </c>
      <c r="G67" s="6" t="s">
        <v>36</v>
      </c>
      <c r="H67" s="9" t="s">
        <v>23</v>
      </c>
      <c r="I67" s="9" t="s">
        <v>29</v>
      </c>
      <c r="J67" s="9" t="s">
        <v>31</v>
      </c>
      <c r="K67" s="7">
        <v>9.3000000000000007</v>
      </c>
      <c r="L67" s="7">
        <v>5.83</v>
      </c>
      <c r="M67" s="8">
        <v>0.373</v>
      </c>
      <c r="N67" s="10">
        <v>71289</v>
      </c>
      <c r="O67" s="7">
        <v>210.35</v>
      </c>
      <c r="P67" s="7">
        <f t="array" ref="P67">K67*O67</f>
        <v>1956.2550000000001</v>
      </c>
      <c r="Q67" s="7">
        <f t="array" ref="Q67">L67*O67</f>
        <v>1226.3405</v>
      </c>
      <c r="R67" s="7">
        <f t="array" ref="R67">N67*K67</f>
        <v>662987.70000000007</v>
      </c>
      <c r="S67" s="7">
        <f t="array" ref="S67">N67*K67*O67</f>
        <v>139459462.69500002</v>
      </c>
    </row>
    <row r="68" spans="1:19" ht="14.25" customHeight="1" x14ac:dyDescent="0.3">
      <c r="A68">
        <v>67</v>
      </c>
      <c r="B68" s="12">
        <v>45017</v>
      </c>
      <c r="C68" s="5">
        <v>2023</v>
      </c>
      <c r="D68" s="5" t="s">
        <v>25</v>
      </c>
      <c r="E68" s="5" t="s">
        <v>53</v>
      </c>
      <c r="F68" s="6" t="s">
        <v>63</v>
      </c>
      <c r="G68" s="6" t="s">
        <v>36</v>
      </c>
      <c r="H68" s="9" t="s">
        <v>23</v>
      </c>
      <c r="I68" s="9" t="s">
        <v>29</v>
      </c>
      <c r="J68" s="9" t="s">
        <v>49</v>
      </c>
      <c r="K68" s="7">
        <v>7.24</v>
      </c>
      <c r="L68" s="7">
        <v>4.8600000000000003</v>
      </c>
      <c r="M68" s="8">
        <v>0.32900000000000001</v>
      </c>
      <c r="N68" s="10">
        <v>137663</v>
      </c>
      <c r="O68" s="7">
        <v>210.35</v>
      </c>
      <c r="P68" s="7">
        <f t="array" ref="P68">K68*O68</f>
        <v>1522.934</v>
      </c>
      <c r="Q68" s="7">
        <f t="array" ref="Q68">L68*O68</f>
        <v>1022.301</v>
      </c>
      <c r="R68" s="7">
        <f t="array" ref="R68">N68*K68</f>
        <v>996680.12</v>
      </c>
      <c r="S68" s="7">
        <f t="array" ref="S68">N68*K68*O68</f>
        <v>209651663.24199998</v>
      </c>
    </row>
    <row r="69" spans="1:19" ht="14.25" customHeight="1" x14ac:dyDescent="0.3">
      <c r="A69">
        <v>68</v>
      </c>
      <c r="B69" s="12">
        <v>45017</v>
      </c>
      <c r="C69" s="5">
        <v>2023</v>
      </c>
      <c r="D69" s="5" t="s">
        <v>50</v>
      </c>
      <c r="E69" s="5" t="s">
        <v>60</v>
      </c>
      <c r="F69" s="6" t="s">
        <v>62</v>
      </c>
      <c r="G69" s="6" t="s">
        <v>21</v>
      </c>
      <c r="H69" s="9" t="s">
        <v>38</v>
      </c>
      <c r="I69" s="9" t="s">
        <v>24</v>
      </c>
      <c r="J69" s="9" t="s">
        <v>31</v>
      </c>
      <c r="K69" s="7">
        <v>8.75</v>
      </c>
      <c r="L69" s="7">
        <v>5.96</v>
      </c>
      <c r="M69" s="8">
        <v>0.31900000000000001</v>
      </c>
      <c r="N69" s="10">
        <v>99313</v>
      </c>
      <c r="O69" s="7">
        <v>210.35</v>
      </c>
      <c r="P69" s="7">
        <f t="array" ref="P69">K69*O69</f>
        <v>1840.5625</v>
      </c>
      <c r="Q69" s="7">
        <f t="array" ref="Q69">L69*O69</f>
        <v>1253.6859999999999</v>
      </c>
      <c r="R69" s="7">
        <f t="array" ref="R69">N69*K69</f>
        <v>868988.75</v>
      </c>
      <c r="S69" s="7">
        <f t="array" ref="S69">N69*K69*O69</f>
        <v>182791783.5625</v>
      </c>
    </row>
    <row r="70" spans="1:19" ht="14.25" customHeight="1" x14ac:dyDescent="0.3">
      <c r="A70">
        <v>69</v>
      </c>
      <c r="B70" s="12">
        <v>45017</v>
      </c>
      <c r="C70" s="5">
        <v>2023</v>
      </c>
      <c r="D70" s="5" t="s">
        <v>25</v>
      </c>
      <c r="E70" s="5" t="s">
        <v>53</v>
      </c>
      <c r="F70" s="6" t="s">
        <v>27</v>
      </c>
      <c r="G70" s="6" t="s">
        <v>36</v>
      </c>
      <c r="H70" s="9" t="s">
        <v>28</v>
      </c>
      <c r="I70" s="9" t="s">
        <v>32</v>
      </c>
      <c r="J70" s="9" t="s">
        <v>49</v>
      </c>
      <c r="K70" s="7">
        <v>18.75</v>
      </c>
      <c r="L70" s="7">
        <v>10.1</v>
      </c>
      <c r="M70" s="8">
        <v>0.46100000000000002</v>
      </c>
      <c r="N70" s="10">
        <v>276175</v>
      </c>
      <c r="O70" s="7">
        <v>210.35</v>
      </c>
      <c r="P70" s="7">
        <f t="array" ref="P70">K70*O70</f>
        <v>3944.0625</v>
      </c>
      <c r="Q70" s="7">
        <f t="array" ref="Q70">L70*O70</f>
        <v>2124.5349999999999</v>
      </c>
      <c r="R70" s="7">
        <f t="array" ref="R70">N70*K70</f>
        <v>5178281.25</v>
      </c>
      <c r="S70" s="7">
        <f t="array" ref="S70">N70*K70*O70</f>
        <v>1089251460.9375</v>
      </c>
    </row>
    <row r="71" spans="1:19" ht="14.25" customHeight="1" x14ac:dyDescent="0.3">
      <c r="A71">
        <v>70</v>
      </c>
      <c r="B71" s="12">
        <v>45017</v>
      </c>
      <c r="C71" s="5">
        <v>2023</v>
      </c>
      <c r="D71" s="5" t="s">
        <v>50</v>
      </c>
      <c r="E71" s="5" t="s">
        <v>60</v>
      </c>
      <c r="F71" s="6" t="s">
        <v>56</v>
      </c>
      <c r="G71" s="6" t="s">
        <v>21</v>
      </c>
      <c r="H71" s="9" t="s">
        <v>23</v>
      </c>
      <c r="I71" s="9" t="s">
        <v>29</v>
      </c>
      <c r="J71" s="9" t="s">
        <v>49</v>
      </c>
      <c r="K71" s="7">
        <v>6.3</v>
      </c>
      <c r="L71" s="7">
        <v>4.07</v>
      </c>
      <c r="M71" s="8">
        <v>0.35399999999999998</v>
      </c>
      <c r="N71" s="10">
        <v>145264</v>
      </c>
      <c r="O71" s="7">
        <v>210.35</v>
      </c>
      <c r="P71" s="7">
        <f t="array" ref="P71">K71*O71</f>
        <v>1325.2049999999999</v>
      </c>
      <c r="Q71" s="7">
        <f t="array" ref="Q71">L71*O71</f>
        <v>856.12450000000001</v>
      </c>
      <c r="R71" s="7">
        <f t="array" ref="R71">N71*K71</f>
        <v>915163.2</v>
      </c>
      <c r="S71" s="7">
        <f t="array" ref="S71">N71*K71*O71</f>
        <v>192504579.11999997</v>
      </c>
    </row>
    <row r="72" spans="1:19" ht="14.25" customHeight="1" x14ac:dyDescent="0.3">
      <c r="A72">
        <v>71</v>
      </c>
      <c r="B72" s="12">
        <v>45017</v>
      </c>
      <c r="C72" s="5">
        <v>2023</v>
      </c>
      <c r="D72" s="5" t="s">
        <v>42</v>
      </c>
      <c r="E72" s="5" t="s">
        <v>66</v>
      </c>
      <c r="F72" s="6" t="s">
        <v>69</v>
      </c>
      <c r="G72" s="6" t="s">
        <v>36</v>
      </c>
      <c r="H72" s="9" t="s">
        <v>23</v>
      </c>
      <c r="I72" s="9" t="s">
        <v>29</v>
      </c>
      <c r="J72" s="9" t="s">
        <v>22</v>
      </c>
      <c r="K72" s="7">
        <v>6.77</v>
      </c>
      <c r="L72" s="7">
        <v>4.4000000000000004</v>
      </c>
      <c r="M72" s="8">
        <v>0.35</v>
      </c>
      <c r="N72" s="10">
        <v>279253</v>
      </c>
      <c r="O72" s="7">
        <v>210.35</v>
      </c>
      <c r="P72" s="7">
        <f t="array" ref="P72">K72*O72</f>
        <v>1424.0694999999998</v>
      </c>
      <c r="Q72" s="7">
        <f t="array" ref="Q72">L72*O72</f>
        <v>925.54000000000008</v>
      </c>
      <c r="R72" s="7">
        <f t="array" ref="R72">N72*K72</f>
        <v>1890542.8099999998</v>
      </c>
      <c r="S72" s="7">
        <f t="array" ref="S72">N72*K72*O72</f>
        <v>397675680.08349997</v>
      </c>
    </row>
    <row r="73" spans="1:19" ht="14.25" customHeight="1" x14ac:dyDescent="0.3">
      <c r="A73">
        <v>72</v>
      </c>
      <c r="B73" s="12">
        <v>45017</v>
      </c>
      <c r="C73" s="5">
        <v>2023</v>
      </c>
      <c r="D73" s="5" t="s">
        <v>50</v>
      </c>
      <c r="E73" s="5" t="s">
        <v>51</v>
      </c>
      <c r="F73" s="6" t="s">
        <v>62</v>
      </c>
      <c r="G73" s="6" t="s">
        <v>21</v>
      </c>
      <c r="H73" s="9" t="s">
        <v>23</v>
      </c>
      <c r="I73" s="9" t="s">
        <v>46</v>
      </c>
      <c r="J73" s="9" t="s">
        <v>31</v>
      </c>
      <c r="K73" s="7">
        <v>19.53</v>
      </c>
      <c r="L73" s="7">
        <v>12.66</v>
      </c>
      <c r="M73" s="8">
        <v>0.35199999999999998</v>
      </c>
      <c r="N73" s="10">
        <v>66032</v>
      </c>
      <c r="O73" s="7">
        <v>210.35</v>
      </c>
      <c r="P73" s="7">
        <f t="array" ref="P73">K73*O73</f>
        <v>4108.1355000000003</v>
      </c>
      <c r="Q73" s="7">
        <f t="array" ref="Q73">L73*O73</f>
        <v>2663.0309999999999</v>
      </c>
      <c r="R73" s="7">
        <f t="array" ref="R73">N73*K73</f>
        <v>1289604.96</v>
      </c>
      <c r="S73" s="7">
        <f t="array" ref="S73">N73*K73*O73</f>
        <v>271268403.33599997</v>
      </c>
    </row>
    <row r="74" spans="1:19" ht="14.25" customHeight="1" x14ac:dyDescent="0.3">
      <c r="A74">
        <v>73</v>
      </c>
      <c r="B74" s="12">
        <v>45017</v>
      </c>
      <c r="C74" s="5">
        <v>2023</v>
      </c>
      <c r="D74" s="5" t="s">
        <v>42</v>
      </c>
      <c r="E74" s="5" t="s">
        <v>68</v>
      </c>
      <c r="F74" s="6" t="s">
        <v>44</v>
      </c>
      <c r="G74" s="6" t="s">
        <v>21</v>
      </c>
      <c r="H74" s="9" t="s">
        <v>23</v>
      </c>
      <c r="I74" s="9" t="s">
        <v>32</v>
      </c>
      <c r="J74" s="9" t="s">
        <v>49</v>
      </c>
      <c r="K74" s="7">
        <v>12.21</v>
      </c>
      <c r="L74" s="7">
        <v>9.43</v>
      </c>
      <c r="M74" s="8">
        <v>0.22800000000000001</v>
      </c>
      <c r="N74" s="10">
        <v>291727</v>
      </c>
      <c r="O74" s="7">
        <v>210.35</v>
      </c>
      <c r="P74" s="7">
        <f t="array" ref="P74">K74*O74</f>
        <v>2568.3735000000001</v>
      </c>
      <c r="Q74" s="7">
        <f t="array" ref="Q74">L74*O74</f>
        <v>1983.6004999999998</v>
      </c>
      <c r="R74" s="7">
        <f t="array" ref="R74">N74*K74</f>
        <v>3561986.6700000004</v>
      </c>
      <c r="S74" s="7">
        <f t="array" ref="S74">N74*K74*O74</f>
        <v>749263896.0345</v>
      </c>
    </row>
    <row r="75" spans="1:19" ht="14.25" customHeight="1" x14ac:dyDescent="0.3">
      <c r="A75">
        <v>74</v>
      </c>
      <c r="B75" s="12">
        <v>45017</v>
      </c>
      <c r="C75" s="5">
        <v>2023</v>
      </c>
      <c r="D75" s="5" t="s">
        <v>33</v>
      </c>
      <c r="E75" s="5" t="s">
        <v>34</v>
      </c>
      <c r="F75" s="6" t="s">
        <v>47</v>
      </c>
      <c r="G75" s="6" t="s">
        <v>36</v>
      </c>
      <c r="H75" s="9" t="s">
        <v>38</v>
      </c>
      <c r="I75" s="9" t="s">
        <v>32</v>
      </c>
      <c r="J75" s="9" t="s">
        <v>49</v>
      </c>
      <c r="K75" s="7">
        <v>13.71</v>
      </c>
      <c r="L75" s="7">
        <v>10.71</v>
      </c>
      <c r="M75" s="8">
        <v>0.219</v>
      </c>
      <c r="N75" s="10">
        <v>162222</v>
      </c>
      <c r="O75" s="7">
        <v>210.35</v>
      </c>
      <c r="P75" s="7">
        <f t="array" ref="P75">K75*O75</f>
        <v>2883.8985000000002</v>
      </c>
      <c r="Q75" s="7">
        <f t="array" ref="Q75">L75*O75</f>
        <v>2252.8485000000001</v>
      </c>
      <c r="R75" s="7">
        <f t="array" ref="R75">N75*K75</f>
        <v>2224063.62</v>
      </c>
      <c r="S75" s="7">
        <f t="array" ref="S75">N75*K75*O75</f>
        <v>467831782.46700001</v>
      </c>
    </row>
    <row r="76" spans="1:19" ht="14.25" customHeight="1" x14ac:dyDescent="0.3">
      <c r="A76">
        <v>75</v>
      </c>
      <c r="B76" s="12">
        <v>45017</v>
      </c>
      <c r="C76" s="5">
        <v>2023</v>
      </c>
      <c r="D76" s="5" t="s">
        <v>39</v>
      </c>
      <c r="E76" s="5" t="s">
        <v>58</v>
      </c>
      <c r="F76" s="6" t="s">
        <v>41</v>
      </c>
      <c r="G76" s="6" t="s">
        <v>36</v>
      </c>
      <c r="H76" s="9" t="s">
        <v>23</v>
      </c>
      <c r="I76" s="9" t="s">
        <v>32</v>
      </c>
      <c r="J76" s="9" t="s">
        <v>31</v>
      </c>
      <c r="K76" s="7">
        <v>13.45</v>
      </c>
      <c r="L76" s="7">
        <v>8.0500000000000007</v>
      </c>
      <c r="M76" s="8">
        <v>0.40100000000000002</v>
      </c>
      <c r="N76" s="10">
        <v>125604</v>
      </c>
      <c r="O76" s="7">
        <v>210.35</v>
      </c>
      <c r="P76" s="7">
        <f t="array" ref="P76">K76*O76</f>
        <v>2829.2075</v>
      </c>
      <c r="Q76" s="7">
        <f t="array" ref="Q76">L76*O76</f>
        <v>1693.3175000000001</v>
      </c>
      <c r="R76" s="7">
        <f t="array" ref="R76">N76*K76</f>
        <v>1689373.7999999998</v>
      </c>
      <c r="S76" s="7">
        <f t="array" ref="S76">N76*K76*O76</f>
        <v>355359778.82999992</v>
      </c>
    </row>
    <row r="77" spans="1:19" ht="14.25" customHeight="1" x14ac:dyDescent="0.3">
      <c r="A77">
        <v>76</v>
      </c>
      <c r="B77" s="12">
        <v>45017</v>
      </c>
      <c r="C77" s="5">
        <v>2023</v>
      </c>
      <c r="D77" s="5" t="s">
        <v>39</v>
      </c>
      <c r="E77" s="5" t="s">
        <v>65</v>
      </c>
      <c r="F77" s="6" t="s">
        <v>41</v>
      </c>
      <c r="G77" s="6" t="s">
        <v>64</v>
      </c>
      <c r="H77" s="9" t="s">
        <v>28</v>
      </c>
      <c r="I77" s="9" t="s">
        <v>29</v>
      </c>
      <c r="J77" s="9" t="s">
        <v>31</v>
      </c>
      <c r="K77" s="7">
        <v>11.73</v>
      </c>
      <c r="L77" s="7">
        <v>7.07</v>
      </c>
      <c r="M77" s="8">
        <v>0.39700000000000002</v>
      </c>
      <c r="N77" s="10">
        <v>72383</v>
      </c>
      <c r="O77" s="7">
        <v>210.35</v>
      </c>
      <c r="P77" s="7">
        <f t="array" ref="P77">K77*O77</f>
        <v>2467.4054999999998</v>
      </c>
      <c r="Q77" s="7">
        <f t="array" ref="Q77">L77*O77</f>
        <v>1487.1745000000001</v>
      </c>
      <c r="R77" s="7">
        <f t="array" ref="R77">N77*K77</f>
        <v>849052.59000000008</v>
      </c>
      <c r="S77" s="7">
        <f t="array" ref="S77">N77*K77*O77</f>
        <v>178598212.30650002</v>
      </c>
    </row>
    <row r="78" spans="1:19" ht="14.25" customHeight="1" x14ac:dyDescent="0.3">
      <c r="A78">
        <v>77</v>
      </c>
      <c r="B78" s="12">
        <v>45047</v>
      </c>
      <c r="C78" s="5">
        <v>2023</v>
      </c>
      <c r="D78" s="5" t="s">
        <v>25</v>
      </c>
      <c r="E78" s="5" t="s">
        <v>53</v>
      </c>
      <c r="F78" s="6" t="s">
        <v>63</v>
      </c>
      <c r="G78" s="6" t="s">
        <v>64</v>
      </c>
      <c r="H78" s="9" t="s">
        <v>28</v>
      </c>
      <c r="I78" s="9" t="s">
        <v>29</v>
      </c>
      <c r="J78" s="9" t="s">
        <v>22</v>
      </c>
      <c r="K78" s="7">
        <v>13.01</v>
      </c>
      <c r="L78" s="7">
        <v>7.14</v>
      </c>
      <c r="M78" s="8">
        <v>0.45100000000000001</v>
      </c>
      <c r="N78" s="10">
        <v>161429</v>
      </c>
      <c r="O78" s="7">
        <v>224.4</v>
      </c>
      <c r="P78" s="7">
        <f t="array" ref="P78">K78*O78</f>
        <v>2919.444</v>
      </c>
      <c r="Q78" s="7">
        <f t="array" ref="Q78">L78*O78</f>
        <v>1602.2159999999999</v>
      </c>
      <c r="R78" s="7">
        <f t="array" ref="R78">N78*K78</f>
        <v>2100191.29</v>
      </c>
      <c r="S78" s="7">
        <f t="array" ref="S78">N78*K78*O78</f>
        <v>471282925.47600001</v>
      </c>
    </row>
    <row r="79" spans="1:19" ht="14.25" customHeight="1" x14ac:dyDescent="0.3">
      <c r="A79">
        <v>78</v>
      </c>
      <c r="B79" s="12">
        <v>45047</v>
      </c>
      <c r="C79" s="5">
        <v>2023</v>
      </c>
      <c r="D79" s="5" t="s">
        <v>33</v>
      </c>
      <c r="E79" s="5" t="s">
        <v>37</v>
      </c>
      <c r="F79" s="6" t="s">
        <v>47</v>
      </c>
      <c r="G79" s="6" t="s">
        <v>21</v>
      </c>
      <c r="H79" s="9" t="s">
        <v>23</v>
      </c>
      <c r="I79" s="9" t="s">
        <v>24</v>
      </c>
      <c r="J79" s="9" t="s">
        <v>31</v>
      </c>
      <c r="K79" s="7">
        <v>9.1999999999999993</v>
      </c>
      <c r="L79" s="7">
        <v>6.42</v>
      </c>
      <c r="M79" s="8">
        <v>0.30199999999999999</v>
      </c>
      <c r="N79" s="10">
        <v>231072</v>
      </c>
      <c r="O79" s="7">
        <v>224.4</v>
      </c>
      <c r="P79" s="7">
        <f t="array" ref="P79">K79*O79</f>
        <v>2064.48</v>
      </c>
      <c r="Q79" s="7">
        <f t="array" ref="Q79">L79*O79</f>
        <v>1440.6479999999999</v>
      </c>
      <c r="R79" s="7">
        <f t="array" ref="R79">N79*K79</f>
        <v>2125862.4</v>
      </c>
      <c r="S79" s="7">
        <f t="array" ref="S79">N79*K79*O79</f>
        <v>477043522.56</v>
      </c>
    </row>
    <row r="80" spans="1:19" ht="14.25" customHeight="1" x14ac:dyDescent="0.3">
      <c r="A80">
        <v>79</v>
      </c>
      <c r="B80" s="12">
        <v>45047</v>
      </c>
      <c r="C80" s="5">
        <v>2023</v>
      </c>
      <c r="D80" s="5" t="s">
        <v>50</v>
      </c>
      <c r="E80" s="5" t="s">
        <v>60</v>
      </c>
      <c r="F80" s="6" t="s">
        <v>52</v>
      </c>
      <c r="G80" s="6" t="s">
        <v>36</v>
      </c>
      <c r="H80" s="9" t="s">
        <v>23</v>
      </c>
      <c r="I80" s="9" t="s">
        <v>46</v>
      </c>
      <c r="J80" s="9" t="s">
        <v>31</v>
      </c>
      <c r="K80" s="7">
        <v>11.35</v>
      </c>
      <c r="L80" s="7">
        <v>6.15</v>
      </c>
      <c r="M80" s="8">
        <v>0.45800000000000002</v>
      </c>
      <c r="N80" s="10">
        <v>288258</v>
      </c>
      <c r="O80" s="7">
        <v>224.4</v>
      </c>
      <c r="P80" s="7">
        <f t="array" ref="P80">K80*O80</f>
        <v>2546.94</v>
      </c>
      <c r="Q80" s="7">
        <f t="array" ref="Q80">L80*O80</f>
        <v>1380.0600000000002</v>
      </c>
      <c r="R80" s="7">
        <f t="array" ref="R80">N80*K80</f>
        <v>3271728.3</v>
      </c>
      <c r="S80" s="7">
        <f t="array" ref="S80">N80*K80*O80</f>
        <v>734175830.51999998</v>
      </c>
    </row>
    <row r="81" spans="1:19" ht="14.25" customHeight="1" x14ac:dyDescent="0.3">
      <c r="A81">
        <v>80</v>
      </c>
      <c r="B81" s="12">
        <v>45047</v>
      </c>
      <c r="C81" s="5">
        <v>2023</v>
      </c>
      <c r="D81" s="5" t="s">
        <v>25</v>
      </c>
      <c r="E81" s="5" t="s">
        <v>26</v>
      </c>
      <c r="F81" s="6" t="s">
        <v>63</v>
      </c>
      <c r="G81" s="6" t="s">
        <v>36</v>
      </c>
      <c r="H81" s="9" t="s">
        <v>23</v>
      </c>
      <c r="I81" s="9" t="s">
        <v>32</v>
      </c>
      <c r="J81" s="9" t="s">
        <v>31</v>
      </c>
      <c r="K81" s="7">
        <v>9.6199999999999992</v>
      </c>
      <c r="L81" s="7">
        <v>6.65</v>
      </c>
      <c r="M81" s="8">
        <v>0.309</v>
      </c>
      <c r="N81" s="10">
        <v>251487</v>
      </c>
      <c r="O81" s="7">
        <v>224.4</v>
      </c>
      <c r="P81" s="7">
        <f t="array" ref="P81">K81*O81</f>
        <v>2158.7280000000001</v>
      </c>
      <c r="Q81" s="7">
        <f t="array" ref="Q81">L81*O81</f>
        <v>1492.2600000000002</v>
      </c>
      <c r="R81" s="7">
        <f t="array" ref="R81">N81*K81</f>
        <v>2419304.94</v>
      </c>
      <c r="S81" s="7">
        <f t="array" ref="S81">N81*K81*O81</f>
        <v>542892028.53600001</v>
      </c>
    </row>
    <row r="82" spans="1:19" ht="14.25" customHeight="1" x14ac:dyDescent="0.3">
      <c r="A82">
        <v>81</v>
      </c>
      <c r="B82" s="12">
        <v>45047</v>
      </c>
      <c r="C82" s="5">
        <v>2023</v>
      </c>
      <c r="D82" s="5" t="s">
        <v>50</v>
      </c>
      <c r="E82" s="5" t="s">
        <v>60</v>
      </c>
      <c r="F82" s="6" t="s">
        <v>56</v>
      </c>
      <c r="G82" s="6" t="s">
        <v>36</v>
      </c>
      <c r="H82" s="9" t="s">
        <v>23</v>
      </c>
      <c r="I82" s="9" t="s">
        <v>29</v>
      </c>
      <c r="J82" s="9" t="s">
        <v>22</v>
      </c>
      <c r="K82" s="7">
        <v>11.98</v>
      </c>
      <c r="L82" s="7">
        <v>9.36</v>
      </c>
      <c r="M82" s="8">
        <v>0.219</v>
      </c>
      <c r="N82" s="10">
        <v>189182</v>
      </c>
      <c r="O82" s="7">
        <v>224.4</v>
      </c>
      <c r="P82" s="7">
        <f t="array" ref="P82">K82*O82</f>
        <v>2688.3120000000004</v>
      </c>
      <c r="Q82" s="7">
        <f t="array" ref="Q82">L82*O82</f>
        <v>2100.384</v>
      </c>
      <c r="R82" s="7">
        <f t="array" ref="R82">N82*K82</f>
        <v>2266400.36</v>
      </c>
      <c r="S82" s="7">
        <f t="array" ref="S82">N82*K82*O82</f>
        <v>508580240.78399998</v>
      </c>
    </row>
    <row r="83" spans="1:19" ht="14.25" customHeight="1" x14ac:dyDescent="0.3">
      <c r="A83">
        <v>82</v>
      </c>
      <c r="B83" s="12">
        <v>45047</v>
      </c>
      <c r="C83" s="5">
        <v>2023</v>
      </c>
      <c r="D83" s="5" t="s">
        <v>18</v>
      </c>
      <c r="E83" s="5" t="s">
        <v>59</v>
      </c>
      <c r="F83" s="6" t="s">
        <v>55</v>
      </c>
      <c r="G83" s="6" t="s">
        <v>21</v>
      </c>
      <c r="H83" s="9" t="s">
        <v>28</v>
      </c>
      <c r="I83" s="9" t="s">
        <v>29</v>
      </c>
      <c r="J83" s="9" t="s">
        <v>22</v>
      </c>
      <c r="K83" s="7">
        <v>6.02</v>
      </c>
      <c r="L83" s="7">
        <v>3.27</v>
      </c>
      <c r="M83" s="8">
        <v>0.45700000000000002</v>
      </c>
      <c r="N83" s="10">
        <v>218708</v>
      </c>
      <c r="O83" s="7">
        <v>224.4</v>
      </c>
      <c r="P83" s="7">
        <f t="array" ref="P83">K83*O83</f>
        <v>1350.8879999999999</v>
      </c>
      <c r="Q83" s="7">
        <f t="array" ref="Q83">L83*O83</f>
        <v>733.78800000000001</v>
      </c>
      <c r="R83" s="7">
        <f t="array" ref="R83">N83*K83</f>
        <v>1316622.1599999999</v>
      </c>
      <c r="S83" s="7">
        <f t="array" ref="S83">N83*K83*O83</f>
        <v>295450012.704</v>
      </c>
    </row>
    <row r="84" spans="1:19" ht="14.25" customHeight="1" x14ac:dyDescent="0.3">
      <c r="A84">
        <v>83</v>
      </c>
      <c r="B84" s="12">
        <v>45047</v>
      </c>
      <c r="C84" s="5">
        <v>2023</v>
      </c>
      <c r="D84" s="5" t="s">
        <v>18</v>
      </c>
      <c r="E84" s="5" t="s">
        <v>59</v>
      </c>
      <c r="F84" s="6" t="s">
        <v>20</v>
      </c>
      <c r="G84" s="6" t="s">
        <v>21</v>
      </c>
      <c r="H84" s="9" t="s">
        <v>28</v>
      </c>
      <c r="I84" s="9" t="s">
        <v>29</v>
      </c>
      <c r="J84" s="9" t="s">
        <v>31</v>
      </c>
      <c r="K84" s="7">
        <v>8.75</v>
      </c>
      <c r="L84" s="7">
        <v>4.75</v>
      </c>
      <c r="M84" s="8">
        <v>0.45700000000000002</v>
      </c>
      <c r="N84" s="10">
        <v>296458</v>
      </c>
      <c r="O84" s="7">
        <v>224.4</v>
      </c>
      <c r="P84" s="7">
        <f t="array" ref="P84">K84*O84</f>
        <v>1963.5</v>
      </c>
      <c r="Q84" s="7">
        <f t="array" ref="Q84">L84*O84</f>
        <v>1065.9000000000001</v>
      </c>
      <c r="R84" s="7">
        <f t="array" ref="R84">N84*K84</f>
        <v>2594007.5</v>
      </c>
      <c r="S84" s="7">
        <f t="array" ref="S84">N84*K84*O84</f>
        <v>582095283</v>
      </c>
    </row>
    <row r="85" spans="1:19" ht="14.25" customHeight="1" x14ac:dyDescent="0.3">
      <c r="A85">
        <v>84</v>
      </c>
      <c r="B85" s="12">
        <v>45047</v>
      </c>
      <c r="C85" s="5">
        <v>2023</v>
      </c>
      <c r="D85" s="5" t="s">
        <v>50</v>
      </c>
      <c r="E85" s="5" t="s">
        <v>60</v>
      </c>
      <c r="F85" s="6" t="s">
        <v>56</v>
      </c>
      <c r="G85" s="6" t="s">
        <v>36</v>
      </c>
      <c r="H85" s="9" t="s">
        <v>23</v>
      </c>
      <c r="I85" s="9" t="s">
        <v>24</v>
      </c>
      <c r="J85" s="9" t="s">
        <v>31</v>
      </c>
      <c r="K85" s="7">
        <v>18.78</v>
      </c>
      <c r="L85" s="7">
        <v>11.95</v>
      </c>
      <c r="M85" s="8">
        <v>0.36399999999999999</v>
      </c>
      <c r="N85" s="10">
        <v>186443</v>
      </c>
      <c r="O85" s="7">
        <v>224.4</v>
      </c>
      <c r="P85" s="7">
        <f t="array" ref="P85">K85*O85</f>
        <v>4214.232</v>
      </c>
      <c r="Q85" s="7">
        <f t="array" ref="Q85">L85*O85</f>
        <v>2681.58</v>
      </c>
      <c r="R85" s="7">
        <f t="array" ref="R85">N85*K85</f>
        <v>3501399.54</v>
      </c>
      <c r="S85" s="7">
        <f t="array" ref="S85">N85*K85*O85</f>
        <v>785714056.77600002</v>
      </c>
    </row>
    <row r="86" spans="1:19" ht="14.25" customHeight="1" x14ac:dyDescent="0.3">
      <c r="A86">
        <v>85</v>
      </c>
      <c r="B86" s="12">
        <v>45047</v>
      </c>
      <c r="C86" s="5">
        <v>2023</v>
      </c>
      <c r="D86" s="5" t="s">
        <v>50</v>
      </c>
      <c r="E86" s="5" t="s">
        <v>67</v>
      </c>
      <c r="F86" s="6" t="s">
        <v>52</v>
      </c>
      <c r="G86" s="6" t="s">
        <v>21</v>
      </c>
      <c r="H86" s="9" t="s">
        <v>28</v>
      </c>
      <c r="I86" s="9" t="s">
        <v>32</v>
      </c>
      <c r="J86" s="9" t="s">
        <v>22</v>
      </c>
      <c r="K86" s="7">
        <v>5.29</v>
      </c>
      <c r="L86" s="7">
        <v>4.13</v>
      </c>
      <c r="M86" s="8">
        <v>0.219</v>
      </c>
      <c r="N86" s="10">
        <v>195785</v>
      </c>
      <c r="O86" s="7">
        <v>224.4</v>
      </c>
      <c r="P86" s="7">
        <f t="array" ref="P86">K86*O86</f>
        <v>1187.076</v>
      </c>
      <c r="Q86" s="7">
        <f t="array" ref="Q86">L86*O86</f>
        <v>926.77200000000005</v>
      </c>
      <c r="R86" s="7">
        <f t="array" ref="R86">N86*K86</f>
        <v>1035702.65</v>
      </c>
      <c r="S86" s="7">
        <f t="array" ref="S86">N86*K86*O86</f>
        <v>232411674.66</v>
      </c>
    </row>
    <row r="87" spans="1:19" ht="14.25" customHeight="1" x14ac:dyDescent="0.3">
      <c r="A87">
        <v>86</v>
      </c>
      <c r="B87" s="12">
        <v>45047</v>
      </c>
      <c r="C87" s="5">
        <v>2023</v>
      </c>
      <c r="D87" s="5" t="s">
        <v>33</v>
      </c>
      <c r="E87" s="5" t="s">
        <v>37</v>
      </c>
      <c r="F87" s="6" t="s">
        <v>47</v>
      </c>
      <c r="G87" s="6" t="s">
        <v>64</v>
      </c>
      <c r="H87" s="9" t="s">
        <v>28</v>
      </c>
      <c r="I87" s="9" t="s">
        <v>32</v>
      </c>
      <c r="J87" s="9" t="s">
        <v>22</v>
      </c>
      <c r="K87" s="7">
        <v>13.32</v>
      </c>
      <c r="L87" s="7">
        <v>8.98</v>
      </c>
      <c r="M87" s="8">
        <v>0.32600000000000001</v>
      </c>
      <c r="N87" s="10">
        <v>190906</v>
      </c>
      <c r="O87" s="7">
        <v>224.4</v>
      </c>
      <c r="P87" s="7">
        <f t="array" ref="P87">K87*O87</f>
        <v>2989.0080000000003</v>
      </c>
      <c r="Q87" s="7">
        <f t="array" ref="Q87">L87*O87</f>
        <v>2015.1120000000001</v>
      </c>
      <c r="R87" s="7">
        <f t="array" ref="R87">N87*K87</f>
        <v>2542867.92</v>
      </c>
      <c r="S87" s="7">
        <f t="array" ref="S87">N87*K87*O87</f>
        <v>570619561.24800003</v>
      </c>
    </row>
    <row r="88" spans="1:19" ht="14.25" customHeight="1" x14ac:dyDescent="0.3">
      <c r="A88">
        <v>87</v>
      </c>
      <c r="B88" s="12">
        <v>45047</v>
      </c>
      <c r="C88" s="5">
        <v>2023</v>
      </c>
      <c r="D88" s="5" t="s">
        <v>39</v>
      </c>
      <c r="E88" s="5" t="s">
        <v>65</v>
      </c>
      <c r="F88" s="6" t="s">
        <v>20</v>
      </c>
      <c r="G88" s="6" t="s">
        <v>21</v>
      </c>
      <c r="H88" s="9" t="s">
        <v>28</v>
      </c>
      <c r="I88" s="9" t="s">
        <v>24</v>
      </c>
      <c r="J88" s="9" t="s">
        <v>22</v>
      </c>
      <c r="K88" s="7">
        <v>7.1</v>
      </c>
      <c r="L88" s="7">
        <v>4.21</v>
      </c>
      <c r="M88" s="8">
        <v>0.40699999999999997</v>
      </c>
      <c r="N88" s="10">
        <v>245835</v>
      </c>
      <c r="O88" s="7">
        <v>224.4</v>
      </c>
      <c r="P88" s="7">
        <f t="array" ref="P88">K88*O88</f>
        <v>1593.24</v>
      </c>
      <c r="Q88" s="7">
        <f t="array" ref="Q88">L88*O88</f>
        <v>944.72400000000005</v>
      </c>
      <c r="R88" s="7">
        <f t="array" ref="R88">N88*K88</f>
        <v>1745428.5</v>
      </c>
      <c r="S88" s="7">
        <f t="array" ref="S88">N88*K88*O88</f>
        <v>391674155.40000004</v>
      </c>
    </row>
    <row r="89" spans="1:19" ht="14.25" customHeight="1" x14ac:dyDescent="0.3">
      <c r="A89">
        <v>88</v>
      </c>
      <c r="B89" s="12">
        <v>45047</v>
      </c>
      <c r="C89" s="5">
        <v>2023</v>
      </c>
      <c r="D89" s="5" t="s">
        <v>25</v>
      </c>
      <c r="E89" s="5" t="s">
        <v>70</v>
      </c>
      <c r="F89" s="6" t="s">
        <v>30</v>
      </c>
      <c r="G89" s="6" t="s">
        <v>36</v>
      </c>
      <c r="H89" s="9" t="s">
        <v>38</v>
      </c>
      <c r="I89" s="9" t="s">
        <v>32</v>
      </c>
      <c r="J89" s="9" t="s">
        <v>22</v>
      </c>
      <c r="K89" s="7">
        <v>16.22</v>
      </c>
      <c r="L89" s="7">
        <v>9.4499999999999993</v>
      </c>
      <c r="M89" s="8">
        <v>0.41699999999999998</v>
      </c>
      <c r="N89" s="10">
        <v>299237</v>
      </c>
      <c r="O89" s="7">
        <v>224.4</v>
      </c>
      <c r="P89" s="7">
        <f t="array" ref="P89">K89*O89</f>
        <v>3639.768</v>
      </c>
      <c r="Q89" s="7">
        <f t="array" ref="Q89">L89*O89</f>
        <v>2120.58</v>
      </c>
      <c r="R89" s="7">
        <f t="array" ref="R89">N89*K89</f>
        <v>4853624.1399999997</v>
      </c>
      <c r="S89" s="7">
        <f t="array" ref="S89">N89*K89*O89</f>
        <v>1089153257.016</v>
      </c>
    </row>
    <row r="90" spans="1:19" ht="14.25" customHeight="1" x14ac:dyDescent="0.3">
      <c r="A90">
        <v>89</v>
      </c>
      <c r="B90" s="12">
        <v>45047</v>
      </c>
      <c r="C90" s="5">
        <v>2023</v>
      </c>
      <c r="D90" s="5" t="s">
        <v>33</v>
      </c>
      <c r="E90" s="5" t="s">
        <v>57</v>
      </c>
      <c r="F90" s="6" t="s">
        <v>35</v>
      </c>
      <c r="G90" s="6" t="s">
        <v>21</v>
      </c>
      <c r="H90" s="9" t="s">
        <v>23</v>
      </c>
      <c r="I90" s="9" t="s">
        <v>29</v>
      </c>
      <c r="J90" s="9" t="s">
        <v>49</v>
      </c>
      <c r="K90" s="7">
        <v>17.53</v>
      </c>
      <c r="L90" s="7">
        <v>12.69</v>
      </c>
      <c r="M90" s="8">
        <v>0.27600000000000002</v>
      </c>
      <c r="N90" s="10">
        <v>102935</v>
      </c>
      <c r="O90" s="7">
        <v>224.4</v>
      </c>
      <c r="P90" s="7">
        <f t="array" ref="P90">K90*O90</f>
        <v>3933.7320000000004</v>
      </c>
      <c r="Q90" s="7">
        <f t="array" ref="Q90">L90*O90</f>
        <v>2847.636</v>
      </c>
      <c r="R90" s="7">
        <f t="array" ref="R90">N90*K90</f>
        <v>1804450.55</v>
      </c>
      <c r="S90" s="7">
        <f t="array" ref="S90">N90*K90*O90</f>
        <v>404918703.42000002</v>
      </c>
    </row>
    <row r="91" spans="1:19" ht="14.25" customHeight="1" x14ac:dyDescent="0.3">
      <c r="A91">
        <v>90</v>
      </c>
      <c r="B91" s="12">
        <v>45078</v>
      </c>
      <c r="C91" s="5">
        <v>2023</v>
      </c>
      <c r="D91" s="5" t="s">
        <v>39</v>
      </c>
      <c r="E91" s="5" t="s">
        <v>40</v>
      </c>
      <c r="F91" s="6" t="s">
        <v>41</v>
      </c>
      <c r="G91" s="6" t="s">
        <v>36</v>
      </c>
      <c r="H91" s="9" t="s">
        <v>23</v>
      </c>
      <c r="I91" s="9" t="s">
        <v>32</v>
      </c>
      <c r="J91" s="9" t="s">
        <v>22</v>
      </c>
      <c r="K91" s="7">
        <v>17.399999999999999</v>
      </c>
      <c r="L91" s="7">
        <v>11.85</v>
      </c>
      <c r="M91" s="8">
        <v>0.31900000000000001</v>
      </c>
      <c r="N91" s="10">
        <v>295516</v>
      </c>
      <c r="O91" s="7">
        <v>240.25</v>
      </c>
      <c r="P91" s="7">
        <f t="array" ref="P91">K91*O91</f>
        <v>4180.3499999999995</v>
      </c>
      <c r="Q91" s="7">
        <f t="array" ref="Q91">L91*O91</f>
        <v>2846.9625000000001</v>
      </c>
      <c r="R91" s="7">
        <f t="array" ref="R91">N91*K91</f>
        <v>5141978.3999999994</v>
      </c>
      <c r="S91" s="7">
        <f t="array" ref="S91">N91*K91*O91</f>
        <v>1235360310.5999999</v>
      </c>
    </row>
    <row r="92" spans="1:19" ht="14.25" customHeight="1" x14ac:dyDescent="0.3">
      <c r="A92">
        <v>91</v>
      </c>
      <c r="B92" s="12">
        <v>45078</v>
      </c>
      <c r="C92" s="5">
        <v>2023</v>
      </c>
      <c r="D92" s="5" t="s">
        <v>25</v>
      </c>
      <c r="E92" s="5" t="s">
        <v>26</v>
      </c>
      <c r="F92" s="6" t="s">
        <v>30</v>
      </c>
      <c r="G92" s="6" t="s">
        <v>21</v>
      </c>
      <c r="H92" s="9" t="s">
        <v>28</v>
      </c>
      <c r="I92" s="9" t="s">
        <v>29</v>
      </c>
      <c r="J92" s="9" t="s">
        <v>49</v>
      </c>
      <c r="K92" s="7">
        <v>10.24</v>
      </c>
      <c r="L92" s="7">
        <v>5.97</v>
      </c>
      <c r="M92" s="8">
        <v>0.41699999999999998</v>
      </c>
      <c r="N92" s="10">
        <v>252651</v>
      </c>
      <c r="O92" s="7">
        <v>240.25</v>
      </c>
      <c r="P92" s="7">
        <f t="array" ref="P92">K92*O92</f>
        <v>2460.16</v>
      </c>
      <c r="Q92" s="7">
        <f t="array" ref="Q92">L92*O92</f>
        <v>1434.2925</v>
      </c>
      <c r="R92" s="7">
        <f t="array" ref="R92">N92*K92</f>
        <v>2587146.2400000002</v>
      </c>
      <c r="S92" s="7">
        <f t="array" ref="S92">N92*K92*O92</f>
        <v>621561884.16000009</v>
      </c>
    </row>
    <row r="93" spans="1:19" ht="14.25" customHeight="1" x14ac:dyDescent="0.3">
      <c r="A93">
        <v>92</v>
      </c>
      <c r="B93" s="12">
        <v>45078</v>
      </c>
      <c r="C93" s="5">
        <v>2023</v>
      </c>
      <c r="D93" s="5" t="s">
        <v>33</v>
      </c>
      <c r="E93" s="5" t="s">
        <v>57</v>
      </c>
      <c r="F93" s="6" t="s">
        <v>47</v>
      </c>
      <c r="G93" s="6" t="s">
        <v>36</v>
      </c>
      <c r="H93" s="9" t="s">
        <v>23</v>
      </c>
      <c r="I93" s="9" t="s">
        <v>32</v>
      </c>
      <c r="J93" s="9" t="s">
        <v>49</v>
      </c>
      <c r="K93" s="7">
        <v>5.21</v>
      </c>
      <c r="L93" s="7">
        <v>3.93</v>
      </c>
      <c r="M93" s="8">
        <v>0.246</v>
      </c>
      <c r="N93" s="10">
        <v>284164</v>
      </c>
      <c r="O93" s="7">
        <v>240.25</v>
      </c>
      <c r="P93" s="7">
        <f t="array" ref="P93">K93*O93</f>
        <v>1251.7025000000001</v>
      </c>
      <c r="Q93" s="7">
        <f t="array" ref="Q93">L93*O93</f>
        <v>944.1825</v>
      </c>
      <c r="R93" s="7">
        <f t="array" ref="R93">N93*K93</f>
        <v>1480494.44</v>
      </c>
      <c r="S93" s="7">
        <f t="array" ref="S93">N93*K93*O93</f>
        <v>355688789.20999998</v>
      </c>
    </row>
    <row r="94" spans="1:19" ht="14.25" customHeight="1" x14ac:dyDescent="0.3">
      <c r="A94">
        <v>93</v>
      </c>
      <c r="B94" s="12">
        <v>45078</v>
      </c>
      <c r="C94" s="5">
        <v>2023</v>
      </c>
      <c r="D94" s="5" t="s">
        <v>50</v>
      </c>
      <c r="E94" s="5" t="s">
        <v>60</v>
      </c>
      <c r="F94" s="6" t="s">
        <v>62</v>
      </c>
      <c r="G94" s="6" t="s">
        <v>36</v>
      </c>
      <c r="H94" s="9" t="s">
        <v>28</v>
      </c>
      <c r="I94" s="9" t="s">
        <v>32</v>
      </c>
      <c r="J94" s="9" t="s">
        <v>22</v>
      </c>
      <c r="K94" s="7">
        <v>15.3</v>
      </c>
      <c r="L94" s="7">
        <v>9.82</v>
      </c>
      <c r="M94" s="8">
        <v>0.35799999999999998</v>
      </c>
      <c r="N94" s="10">
        <v>91190</v>
      </c>
      <c r="O94" s="7">
        <v>240.25</v>
      </c>
      <c r="P94" s="7">
        <f t="array" ref="P94">K94*O94</f>
        <v>3675.8250000000003</v>
      </c>
      <c r="Q94" s="7">
        <f t="array" ref="Q94">L94*O94</f>
        <v>2359.2550000000001</v>
      </c>
      <c r="R94" s="7">
        <f t="array" ref="R94">N94*K94</f>
        <v>1395207</v>
      </c>
      <c r="S94" s="7">
        <f t="array" ref="S94">N94*K94*O94</f>
        <v>335198481.75</v>
      </c>
    </row>
    <row r="95" spans="1:19" ht="14.25" customHeight="1" x14ac:dyDescent="0.3">
      <c r="A95">
        <v>94</v>
      </c>
      <c r="B95" s="12">
        <v>45078</v>
      </c>
      <c r="C95" s="5">
        <v>2023</v>
      </c>
      <c r="D95" s="5" t="s">
        <v>50</v>
      </c>
      <c r="E95" s="5" t="s">
        <v>60</v>
      </c>
      <c r="F95" s="6" t="s">
        <v>52</v>
      </c>
      <c r="G95" s="6" t="s">
        <v>21</v>
      </c>
      <c r="H95" s="9" t="s">
        <v>38</v>
      </c>
      <c r="I95" s="9" t="s">
        <v>46</v>
      </c>
      <c r="J95" s="9" t="s">
        <v>49</v>
      </c>
      <c r="K95" s="7">
        <v>6.23</v>
      </c>
      <c r="L95" s="7">
        <v>3.13</v>
      </c>
      <c r="M95" s="8">
        <v>0.498</v>
      </c>
      <c r="N95" s="10">
        <v>65377</v>
      </c>
      <c r="O95" s="7">
        <v>240.25</v>
      </c>
      <c r="P95" s="7">
        <f t="array" ref="P95">K95*O95</f>
        <v>1496.7575000000002</v>
      </c>
      <c r="Q95" s="7">
        <f t="array" ref="Q95">L95*O95</f>
        <v>751.98249999999996</v>
      </c>
      <c r="R95" s="7">
        <f t="array" ref="R95">N95*K95</f>
        <v>407298.71</v>
      </c>
      <c r="S95" s="7">
        <f t="array" ref="S95">N95*K95*O95</f>
        <v>97853515.077500001</v>
      </c>
    </row>
    <row r="96" spans="1:19" ht="14.25" customHeight="1" x14ac:dyDescent="0.3">
      <c r="A96">
        <v>95</v>
      </c>
      <c r="B96" s="12">
        <v>45078</v>
      </c>
      <c r="C96" s="5">
        <v>2023</v>
      </c>
      <c r="D96" s="5" t="s">
        <v>39</v>
      </c>
      <c r="E96" s="5" t="s">
        <v>58</v>
      </c>
      <c r="F96" s="6" t="s">
        <v>41</v>
      </c>
      <c r="G96" s="6" t="s">
        <v>36</v>
      </c>
      <c r="H96" s="9" t="s">
        <v>23</v>
      </c>
      <c r="I96" s="9" t="s">
        <v>29</v>
      </c>
      <c r="J96" s="9" t="s">
        <v>31</v>
      </c>
      <c r="K96" s="7">
        <v>10.19</v>
      </c>
      <c r="L96" s="7">
        <v>6.53</v>
      </c>
      <c r="M96" s="8">
        <v>0.35899999999999999</v>
      </c>
      <c r="N96" s="10">
        <v>87700</v>
      </c>
      <c r="O96" s="7">
        <v>240.25</v>
      </c>
      <c r="P96" s="7">
        <f t="array" ref="P96">K96*O96</f>
        <v>2448.1475</v>
      </c>
      <c r="Q96" s="7">
        <f t="array" ref="Q96">L96*O96</f>
        <v>1568.8325</v>
      </c>
      <c r="R96" s="7">
        <f t="array" ref="R96">N96*K96</f>
        <v>893663</v>
      </c>
      <c r="S96" s="7">
        <f t="array" ref="S96">N96*K96*O96</f>
        <v>214702535.75</v>
      </c>
    </row>
    <row r="97" spans="1:19" ht="14.25" customHeight="1" x14ac:dyDescent="0.3">
      <c r="A97">
        <v>96</v>
      </c>
      <c r="B97" s="12">
        <v>45078</v>
      </c>
      <c r="C97" s="5">
        <v>2023</v>
      </c>
      <c r="D97" s="5" t="s">
        <v>18</v>
      </c>
      <c r="E97" s="5" t="s">
        <v>61</v>
      </c>
      <c r="F97" s="6" t="s">
        <v>54</v>
      </c>
      <c r="G97" s="6" t="s">
        <v>64</v>
      </c>
      <c r="H97" s="9" t="s">
        <v>23</v>
      </c>
      <c r="I97" s="9" t="s">
        <v>24</v>
      </c>
      <c r="J97" s="9" t="s">
        <v>22</v>
      </c>
      <c r="K97" s="7">
        <v>19.27</v>
      </c>
      <c r="L97" s="7">
        <v>14.25</v>
      </c>
      <c r="M97" s="8">
        <v>0.26100000000000001</v>
      </c>
      <c r="N97" s="10">
        <v>73060</v>
      </c>
      <c r="O97" s="7">
        <v>240.25</v>
      </c>
      <c r="P97" s="7">
        <f t="array" ref="P97">K97*O97</f>
        <v>4629.6175000000003</v>
      </c>
      <c r="Q97" s="7">
        <f t="array" ref="Q97">L97*O97</f>
        <v>3423.5625</v>
      </c>
      <c r="R97" s="7">
        <f t="array" ref="R97">N97*K97</f>
        <v>1407866.2</v>
      </c>
      <c r="S97" s="7">
        <f t="array" ref="S97">N97*K97*O97</f>
        <v>338239854.55000001</v>
      </c>
    </row>
    <row r="98" spans="1:19" ht="14.25" customHeight="1" x14ac:dyDescent="0.3">
      <c r="A98">
        <v>97</v>
      </c>
      <c r="B98" s="12">
        <v>45078</v>
      </c>
      <c r="C98" s="5">
        <v>2023</v>
      </c>
      <c r="D98" s="5" t="s">
        <v>39</v>
      </c>
      <c r="E98" s="5" t="s">
        <v>40</v>
      </c>
      <c r="F98" s="6" t="s">
        <v>41</v>
      </c>
      <c r="G98" s="6" t="s">
        <v>21</v>
      </c>
      <c r="H98" s="9" t="s">
        <v>28</v>
      </c>
      <c r="I98" s="9" t="s">
        <v>46</v>
      </c>
      <c r="J98" s="9" t="s">
        <v>22</v>
      </c>
      <c r="K98" s="7">
        <v>6.62</v>
      </c>
      <c r="L98" s="7">
        <v>3.97</v>
      </c>
      <c r="M98" s="8">
        <v>0.4</v>
      </c>
      <c r="N98" s="10">
        <v>236471</v>
      </c>
      <c r="O98" s="7">
        <v>240.25</v>
      </c>
      <c r="P98" s="7">
        <f t="array" ref="P98">K98*O98</f>
        <v>1590.4549999999999</v>
      </c>
      <c r="Q98" s="7">
        <f t="array" ref="Q98">L98*O98</f>
        <v>953.79250000000002</v>
      </c>
      <c r="R98" s="7">
        <f t="array" ref="R98">N98*K98</f>
        <v>1565438.02</v>
      </c>
      <c r="S98" s="7">
        <f t="array" ref="S98">N98*K98*O98</f>
        <v>376096484.30500001</v>
      </c>
    </row>
    <row r="99" spans="1:19" ht="14.25" customHeight="1" x14ac:dyDescent="0.3">
      <c r="A99">
        <v>98</v>
      </c>
      <c r="B99" s="12">
        <v>45078</v>
      </c>
      <c r="C99" s="5">
        <v>2023</v>
      </c>
      <c r="D99" s="5" t="s">
        <v>33</v>
      </c>
      <c r="E99" s="5" t="s">
        <v>57</v>
      </c>
      <c r="F99" s="6" t="s">
        <v>47</v>
      </c>
      <c r="G99" s="6" t="s">
        <v>21</v>
      </c>
      <c r="H99" s="9" t="s">
        <v>23</v>
      </c>
      <c r="I99" s="9" t="s">
        <v>46</v>
      </c>
      <c r="J99" s="9" t="s">
        <v>49</v>
      </c>
      <c r="K99" s="7">
        <v>18.29</v>
      </c>
      <c r="L99" s="7">
        <v>13.31</v>
      </c>
      <c r="M99" s="8">
        <v>0.27200000000000002</v>
      </c>
      <c r="N99" s="10">
        <v>199147</v>
      </c>
      <c r="O99" s="7">
        <v>240.25</v>
      </c>
      <c r="P99" s="7">
        <f t="array" ref="P99">K99*O99</f>
        <v>4394.1724999999997</v>
      </c>
      <c r="Q99" s="7">
        <f t="array" ref="Q99">L99*O99</f>
        <v>3197.7275</v>
      </c>
      <c r="R99" s="7">
        <f t="array" ref="R99">N99*K99</f>
        <v>3642398.63</v>
      </c>
      <c r="S99" s="7">
        <f t="array" ref="S99">N99*K99*O99</f>
        <v>875086270.85749996</v>
      </c>
    </row>
    <row r="100" spans="1:19" ht="14.25" customHeight="1" x14ac:dyDescent="0.3">
      <c r="A100">
        <v>99</v>
      </c>
      <c r="B100" s="12">
        <v>45078</v>
      </c>
      <c r="C100" s="5">
        <v>2023</v>
      </c>
      <c r="D100" s="5" t="s">
        <v>50</v>
      </c>
      <c r="E100" s="5" t="s">
        <v>60</v>
      </c>
      <c r="F100" s="6" t="s">
        <v>52</v>
      </c>
      <c r="G100" s="6" t="s">
        <v>21</v>
      </c>
      <c r="H100" s="9" t="s">
        <v>23</v>
      </c>
      <c r="I100" s="9" t="s">
        <v>29</v>
      </c>
      <c r="J100" s="9" t="s">
        <v>22</v>
      </c>
      <c r="K100" s="7">
        <v>16.760000000000002</v>
      </c>
      <c r="L100" s="7">
        <v>11.07</v>
      </c>
      <c r="M100" s="8">
        <v>0.33900000000000002</v>
      </c>
      <c r="N100" s="10">
        <v>57897</v>
      </c>
      <c r="O100" s="7">
        <v>240.25</v>
      </c>
      <c r="P100" s="7">
        <f t="array" ref="P100">K100*O100</f>
        <v>4026.5900000000006</v>
      </c>
      <c r="Q100" s="7">
        <f t="array" ref="Q100">L100*O100</f>
        <v>2659.5675000000001</v>
      </c>
      <c r="R100" s="7">
        <f t="array" ref="R100">N100*K100</f>
        <v>970353.72000000009</v>
      </c>
      <c r="S100" s="7">
        <f t="array" ref="S100">N100*K100*O100</f>
        <v>233127481.23000002</v>
      </c>
    </row>
    <row r="101" spans="1:19" ht="14.25" customHeight="1" x14ac:dyDescent="0.3">
      <c r="A101">
        <v>100</v>
      </c>
      <c r="B101" s="12">
        <v>45078</v>
      </c>
      <c r="C101" s="5">
        <v>2023</v>
      </c>
      <c r="D101" s="5" t="s">
        <v>18</v>
      </c>
      <c r="E101" s="5" t="s">
        <v>59</v>
      </c>
      <c r="F101" s="6" t="s">
        <v>54</v>
      </c>
      <c r="G101" s="6" t="s">
        <v>21</v>
      </c>
      <c r="H101" s="9" t="s">
        <v>23</v>
      </c>
      <c r="I101" s="9" t="s">
        <v>32</v>
      </c>
      <c r="J101" s="9" t="s">
        <v>31</v>
      </c>
      <c r="K101" s="7">
        <v>11.42</v>
      </c>
      <c r="L101" s="7">
        <v>8.2899999999999991</v>
      </c>
      <c r="M101" s="8">
        <v>0.27400000000000002</v>
      </c>
      <c r="N101" s="10">
        <v>280012</v>
      </c>
      <c r="O101" s="7">
        <v>240.25</v>
      </c>
      <c r="P101" s="7">
        <f t="array" ref="P101">K101*O101</f>
        <v>2743.6550000000002</v>
      </c>
      <c r="Q101" s="7">
        <f t="array" ref="Q101">L101*O101</f>
        <v>1991.6724999999999</v>
      </c>
      <c r="R101" s="7">
        <f t="array" ref="R101">N101*K101</f>
        <v>3197737.04</v>
      </c>
      <c r="S101" s="7">
        <f t="array" ref="S101">N101*K101*O101</f>
        <v>768256323.86000001</v>
      </c>
    </row>
    <row r="102" spans="1:19" ht="14.25" customHeight="1" x14ac:dyDescent="0.3">
      <c r="A102">
        <v>101</v>
      </c>
      <c r="B102" s="12">
        <v>45078</v>
      </c>
      <c r="C102" s="5">
        <v>2023</v>
      </c>
      <c r="D102" s="5" t="s">
        <v>25</v>
      </c>
      <c r="E102" s="5" t="s">
        <v>26</v>
      </c>
      <c r="F102" s="6" t="s">
        <v>27</v>
      </c>
      <c r="G102" s="6" t="s">
        <v>21</v>
      </c>
      <c r="H102" s="9" t="s">
        <v>28</v>
      </c>
      <c r="I102" s="9" t="s">
        <v>29</v>
      </c>
      <c r="J102" s="9" t="s">
        <v>31</v>
      </c>
      <c r="K102" s="7">
        <v>17.55</v>
      </c>
      <c r="L102" s="7">
        <v>11.71</v>
      </c>
      <c r="M102" s="8">
        <v>0.33300000000000002</v>
      </c>
      <c r="N102" s="10">
        <v>99052</v>
      </c>
      <c r="O102" s="7">
        <v>240.25</v>
      </c>
      <c r="P102" s="7">
        <f t="array" ref="P102">K102*O102</f>
        <v>4216.3874999999998</v>
      </c>
      <c r="Q102" s="7">
        <f t="array" ref="Q102">L102*O102</f>
        <v>2813.3275000000003</v>
      </c>
      <c r="R102" s="7">
        <f t="array" ref="R102">N102*K102</f>
        <v>1738362.6</v>
      </c>
      <c r="S102" s="7">
        <f t="array" ref="S102">N102*K102*O102</f>
        <v>417641614.65000004</v>
      </c>
    </row>
    <row r="103" spans="1:19" ht="14.25" customHeight="1" x14ac:dyDescent="0.3">
      <c r="A103">
        <v>102</v>
      </c>
      <c r="B103" s="12">
        <v>45078</v>
      </c>
      <c r="C103" s="5">
        <v>2023</v>
      </c>
      <c r="D103" s="5" t="s">
        <v>33</v>
      </c>
      <c r="E103" s="5" t="s">
        <v>34</v>
      </c>
      <c r="F103" s="6" t="s">
        <v>47</v>
      </c>
      <c r="G103" s="6" t="s">
        <v>36</v>
      </c>
      <c r="H103" s="9" t="s">
        <v>23</v>
      </c>
      <c r="I103" s="9" t="s">
        <v>32</v>
      </c>
      <c r="J103" s="9" t="s">
        <v>49</v>
      </c>
      <c r="K103" s="7">
        <v>16.54</v>
      </c>
      <c r="L103" s="7">
        <v>10.42</v>
      </c>
      <c r="M103" s="8">
        <v>0.37</v>
      </c>
      <c r="N103" s="10">
        <v>110207</v>
      </c>
      <c r="O103" s="7">
        <v>240.25</v>
      </c>
      <c r="P103" s="7">
        <f t="array" ref="P103">K103*O103</f>
        <v>3973.7349999999997</v>
      </c>
      <c r="Q103" s="7">
        <f t="array" ref="Q103">L103*O103</f>
        <v>2503.4050000000002</v>
      </c>
      <c r="R103" s="7">
        <f t="array" ref="R103">N103*K103</f>
        <v>1822823.7799999998</v>
      </c>
      <c r="S103" s="7">
        <f t="array" ref="S103">N103*K103*O103</f>
        <v>437933413.14499992</v>
      </c>
    </row>
    <row r="104" spans="1:19" ht="14.25" customHeight="1" x14ac:dyDescent="0.3">
      <c r="A104">
        <v>103</v>
      </c>
      <c r="B104" s="12">
        <v>45078</v>
      </c>
      <c r="C104" s="5">
        <v>2023</v>
      </c>
      <c r="D104" s="5" t="s">
        <v>50</v>
      </c>
      <c r="E104" s="5" t="s">
        <v>67</v>
      </c>
      <c r="F104" s="6" t="s">
        <v>52</v>
      </c>
      <c r="G104" s="6" t="s">
        <v>21</v>
      </c>
      <c r="H104" s="9" t="s">
        <v>23</v>
      </c>
      <c r="I104" s="9" t="s">
        <v>24</v>
      </c>
      <c r="J104" s="9" t="s">
        <v>49</v>
      </c>
      <c r="K104" s="7">
        <v>11.41</v>
      </c>
      <c r="L104" s="7">
        <v>6.47</v>
      </c>
      <c r="M104" s="8">
        <v>0.433</v>
      </c>
      <c r="N104" s="10">
        <v>178386</v>
      </c>
      <c r="O104" s="7">
        <v>240.25</v>
      </c>
      <c r="P104" s="7">
        <f t="array" ref="P104">K104*O104</f>
        <v>2741.2525000000001</v>
      </c>
      <c r="Q104" s="7">
        <f t="array" ref="Q104">L104*O104</f>
        <v>1554.4175</v>
      </c>
      <c r="R104" s="7">
        <f t="array" ref="R104">N104*K104</f>
        <v>2035384.26</v>
      </c>
      <c r="S104" s="7">
        <f t="array" ref="S104">N104*K104*O104</f>
        <v>489001068.46499997</v>
      </c>
    </row>
    <row r="105" spans="1:19" ht="14.25" customHeight="1" x14ac:dyDescent="0.3">
      <c r="A105">
        <v>104</v>
      </c>
      <c r="B105" s="12">
        <v>45078</v>
      </c>
      <c r="C105" s="5">
        <v>2023</v>
      </c>
      <c r="D105" s="5" t="s">
        <v>25</v>
      </c>
      <c r="E105" s="5" t="s">
        <v>53</v>
      </c>
      <c r="F105" s="6" t="s">
        <v>27</v>
      </c>
      <c r="G105" s="6" t="s">
        <v>36</v>
      </c>
      <c r="H105" s="9" t="s">
        <v>38</v>
      </c>
      <c r="I105" s="9" t="s">
        <v>24</v>
      </c>
      <c r="J105" s="9" t="s">
        <v>49</v>
      </c>
      <c r="K105" s="7">
        <v>17.739999999999998</v>
      </c>
      <c r="L105" s="7">
        <v>9.15</v>
      </c>
      <c r="M105" s="8">
        <v>0.48399999999999999</v>
      </c>
      <c r="N105" s="10">
        <v>231626</v>
      </c>
      <c r="O105" s="7">
        <v>240.25</v>
      </c>
      <c r="P105" s="7">
        <f t="array" ref="P105">K105*O105</f>
        <v>4262.0349999999999</v>
      </c>
      <c r="Q105" s="7">
        <f t="array" ref="Q105">L105*O105</f>
        <v>2198.2874999999999</v>
      </c>
      <c r="R105" s="7">
        <f t="array" ref="R105">N105*K105</f>
        <v>4109045.2399999998</v>
      </c>
      <c r="S105" s="7">
        <f t="array" ref="S105">N105*K105*O105</f>
        <v>987198118.90999997</v>
      </c>
    </row>
    <row r="106" spans="1:19" ht="14.25" customHeight="1" x14ac:dyDescent="0.3">
      <c r="A106">
        <v>105</v>
      </c>
      <c r="B106" s="12">
        <v>45078</v>
      </c>
      <c r="C106" s="5">
        <v>2023</v>
      </c>
      <c r="D106" s="5" t="s">
        <v>33</v>
      </c>
      <c r="E106" s="5" t="s">
        <v>34</v>
      </c>
      <c r="F106" s="6" t="s">
        <v>47</v>
      </c>
      <c r="G106" s="6" t="s">
        <v>36</v>
      </c>
      <c r="H106" s="9" t="s">
        <v>38</v>
      </c>
      <c r="I106" s="9" t="s">
        <v>32</v>
      </c>
      <c r="J106" s="9" t="s">
        <v>31</v>
      </c>
      <c r="K106" s="7">
        <v>8.1999999999999993</v>
      </c>
      <c r="L106" s="7">
        <v>6.29</v>
      </c>
      <c r="M106" s="8">
        <v>0.23300000000000001</v>
      </c>
      <c r="N106" s="10">
        <v>103466</v>
      </c>
      <c r="O106" s="7">
        <v>240.25</v>
      </c>
      <c r="P106" s="7">
        <f t="array" ref="P106">K106*O106</f>
        <v>1970.0499999999997</v>
      </c>
      <c r="Q106" s="7">
        <f t="array" ref="Q106">L106*O106</f>
        <v>1511.1724999999999</v>
      </c>
      <c r="R106" s="7">
        <f t="array" ref="R106">N106*K106</f>
        <v>848421.2</v>
      </c>
      <c r="S106" s="7">
        <f t="array" ref="S106">N106*K106*O106</f>
        <v>203833193.29999998</v>
      </c>
    </row>
    <row r="107" spans="1:19" ht="14.25" customHeight="1" x14ac:dyDescent="0.3">
      <c r="A107">
        <v>106</v>
      </c>
      <c r="B107" s="12">
        <v>45078</v>
      </c>
      <c r="C107" s="5">
        <v>2023</v>
      </c>
      <c r="D107" s="5" t="s">
        <v>42</v>
      </c>
      <c r="E107" s="5" t="s">
        <v>66</v>
      </c>
      <c r="F107" s="6" t="s">
        <v>44</v>
      </c>
      <c r="G107" s="6" t="s">
        <v>36</v>
      </c>
      <c r="H107" s="9" t="s">
        <v>28</v>
      </c>
      <c r="I107" s="9" t="s">
        <v>29</v>
      </c>
      <c r="J107" s="9" t="s">
        <v>49</v>
      </c>
      <c r="K107" s="7">
        <v>9.8800000000000008</v>
      </c>
      <c r="L107" s="7">
        <v>6.83</v>
      </c>
      <c r="M107" s="8">
        <v>0.309</v>
      </c>
      <c r="N107" s="10">
        <v>157935</v>
      </c>
      <c r="O107" s="7">
        <v>240.25</v>
      </c>
      <c r="P107" s="7">
        <f t="array" ref="P107">K107*O107</f>
        <v>2373.67</v>
      </c>
      <c r="Q107" s="7">
        <f t="array" ref="Q107">L107*O107</f>
        <v>1640.9075</v>
      </c>
      <c r="R107" s="7">
        <f t="array" ref="R107">N107*K107</f>
        <v>1560397.8</v>
      </c>
      <c r="S107" s="7">
        <f t="array" ref="S107">N107*K107*O107</f>
        <v>374885571.44999999</v>
      </c>
    </row>
    <row r="108" spans="1:19" ht="14.25" customHeight="1" x14ac:dyDescent="0.3">
      <c r="A108">
        <v>107</v>
      </c>
      <c r="B108" s="12">
        <v>45108</v>
      </c>
      <c r="C108" s="5">
        <v>2023</v>
      </c>
      <c r="D108" s="5" t="s">
        <v>42</v>
      </c>
      <c r="E108" s="5" t="s">
        <v>43</v>
      </c>
      <c r="F108" s="6" t="s">
        <v>45</v>
      </c>
      <c r="G108" s="6" t="s">
        <v>21</v>
      </c>
      <c r="H108" s="9" t="s">
        <v>38</v>
      </c>
      <c r="I108" s="9" t="s">
        <v>46</v>
      </c>
      <c r="J108" s="9" t="s">
        <v>31</v>
      </c>
      <c r="K108" s="7">
        <v>8.18</v>
      </c>
      <c r="L108" s="7">
        <v>5.37</v>
      </c>
      <c r="M108" s="8">
        <v>0.34399999999999997</v>
      </c>
      <c r="N108" s="10">
        <v>85355</v>
      </c>
      <c r="O108" s="7">
        <v>225.89</v>
      </c>
      <c r="P108" s="7">
        <f t="array" ref="P108">K108*O108</f>
        <v>1847.7801999999999</v>
      </c>
      <c r="Q108" s="7">
        <f t="array" ref="Q108">L108*O108</f>
        <v>1213.0292999999999</v>
      </c>
      <c r="R108" s="7">
        <f t="array" ref="R108">N108*K108</f>
        <v>698203.9</v>
      </c>
      <c r="S108" s="7">
        <f t="array" ref="S108">N108*K108*O108</f>
        <v>157717278.97099999</v>
      </c>
    </row>
    <row r="109" spans="1:19" ht="14.25" customHeight="1" x14ac:dyDescent="0.3">
      <c r="A109">
        <v>108</v>
      </c>
      <c r="B109" s="12">
        <v>45108</v>
      </c>
      <c r="C109" s="5">
        <v>2023</v>
      </c>
      <c r="D109" s="5" t="s">
        <v>50</v>
      </c>
      <c r="E109" s="5" t="s">
        <v>51</v>
      </c>
      <c r="F109" s="6" t="s">
        <v>56</v>
      </c>
      <c r="G109" s="6" t="s">
        <v>21</v>
      </c>
      <c r="H109" s="9" t="s">
        <v>38</v>
      </c>
      <c r="I109" s="9" t="s">
        <v>29</v>
      </c>
      <c r="J109" s="9" t="s">
        <v>31</v>
      </c>
      <c r="K109" s="7">
        <v>13.61</v>
      </c>
      <c r="L109" s="7">
        <v>9.8699999999999992</v>
      </c>
      <c r="M109" s="8">
        <v>0.27500000000000002</v>
      </c>
      <c r="N109" s="10">
        <v>276810</v>
      </c>
      <c r="O109" s="7">
        <v>225.89</v>
      </c>
      <c r="P109" s="7">
        <f t="array" ref="P109">K109*O109</f>
        <v>3074.3628999999996</v>
      </c>
      <c r="Q109" s="7">
        <f t="array" ref="Q109">L109*O109</f>
        <v>2229.5342999999998</v>
      </c>
      <c r="R109" s="7">
        <f t="array" ref="R109">N109*K109</f>
        <v>3767384.0999999996</v>
      </c>
      <c r="S109" s="7">
        <f t="array" ref="S109">N109*K109*O109</f>
        <v>851014394.34899986</v>
      </c>
    </row>
    <row r="110" spans="1:19" ht="14.25" customHeight="1" x14ac:dyDescent="0.3">
      <c r="A110">
        <v>109</v>
      </c>
      <c r="B110" s="12">
        <v>45108</v>
      </c>
      <c r="C110" s="5">
        <v>2023</v>
      </c>
      <c r="D110" s="5" t="s">
        <v>18</v>
      </c>
      <c r="E110" s="5" t="s">
        <v>61</v>
      </c>
      <c r="F110" s="6" t="s">
        <v>55</v>
      </c>
      <c r="G110" s="6" t="s">
        <v>36</v>
      </c>
      <c r="H110" s="9" t="s">
        <v>38</v>
      </c>
      <c r="I110" s="9" t="s">
        <v>32</v>
      </c>
      <c r="J110" s="9" t="s">
        <v>22</v>
      </c>
      <c r="K110" s="7">
        <v>17.68</v>
      </c>
      <c r="L110" s="7">
        <v>9.83</v>
      </c>
      <c r="M110" s="8">
        <v>0.44400000000000001</v>
      </c>
      <c r="N110" s="10">
        <v>53358</v>
      </c>
      <c r="O110" s="7">
        <v>225.89</v>
      </c>
      <c r="P110" s="7">
        <f t="array" ref="P110">K110*O110</f>
        <v>3993.7351999999996</v>
      </c>
      <c r="Q110" s="7">
        <f t="array" ref="Q110">L110*O110</f>
        <v>2220.4987000000001</v>
      </c>
      <c r="R110" s="7">
        <f t="array" ref="R110">N110*K110</f>
        <v>943369.44</v>
      </c>
      <c r="S110" s="7">
        <f t="array" ref="S110">N110*K110*O110</f>
        <v>213097722.80159998</v>
      </c>
    </row>
    <row r="111" spans="1:19" ht="14.25" customHeight="1" x14ac:dyDescent="0.3">
      <c r="A111">
        <v>110</v>
      </c>
      <c r="B111" s="12">
        <v>45108</v>
      </c>
      <c r="C111" s="5">
        <v>2023</v>
      </c>
      <c r="D111" s="5" t="s">
        <v>18</v>
      </c>
      <c r="E111" s="5" t="s">
        <v>19</v>
      </c>
      <c r="F111" s="6" t="s">
        <v>54</v>
      </c>
      <c r="G111" s="6" t="s">
        <v>21</v>
      </c>
      <c r="H111" s="9" t="s">
        <v>38</v>
      </c>
      <c r="I111" s="9" t="s">
        <v>29</v>
      </c>
      <c r="J111" s="9" t="s">
        <v>22</v>
      </c>
      <c r="K111" s="7">
        <v>5.4</v>
      </c>
      <c r="L111" s="7">
        <v>4.1900000000000004</v>
      </c>
      <c r="M111" s="8">
        <v>0.224</v>
      </c>
      <c r="N111" s="10">
        <v>148101</v>
      </c>
      <c r="O111" s="7">
        <v>225.89</v>
      </c>
      <c r="P111" s="7">
        <f t="array" ref="P111">K111*O111</f>
        <v>1219.806</v>
      </c>
      <c r="Q111" s="7">
        <f t="array" ref="Q111">L111*O111</f>
        <v>946.47910000000002</v>
      </c>
      <c r="R111" s="7">
        <f t="array" ref="R111">N111*K111</f>
        <v>799745.4</v>
      </c>
      <c r="S111" s="7">
        <f t="array" ref="S111">N111*K111*O111</f>
        <v>180654488.40599999</v>
      </c>
    </row>
    <row r="112" spans="1:19" ht="14.25" customHeight="1" x14ac:dyDescent="0.3">
      <c r="A112">
        <v>111</v>
      </c>
      <c r="B112" s="12">
        <v>45108</v>
      </c>
      <c r="C112" s="5">
        <v>2023</v>
      </c>
      <c r="D112" s="5" t="s">
        <v>25</v>
      </c>
      <c r="E112" s="5" t="s">
        <v>70</v>
      </c>
      <c r="F112" s="6" t="s">
        <v>30</v>
      </c>
      <c r="G112" s="6" t="s">
        <v>21</v>
      </c>
      <c r="H112" s="9" t="s">
        <v>28</v>
      </c>
      <c r="I112" s="9" t="s">
        <v>29</v>
      </c>
      <c r="J112" s="9" t="s">
        <v>31</v>
      </c>
      <c r="K112" s="7">
        <v>5.82</v>
      </c>
      <c r="L112" s="7">
        <v>3.8</v>
      </c>
      <c r="M112" s="8">
        <v>0.34699999999999998</v>
      </c>
      <c r="N112" s="10">
        <v>298162</v>
      </c>
      <c r="O112" s="7">
        <v>225.89</v>
      </c>
      <c r="P112" s="7">
        <f t="array" ref="P112">K112*O112</f>
        <v>1314.6797999999999</v>
      </c>
      <c r="Q112" s="7">
        <f t="array" ref="Q112">L112*O112</f>
        <v>858.38199999999995</v>
      </c>
      <c r="R112" s="7">
        <f t="array" ref="R112">N112*K112</f>
        <v>1735302.84</v>
      </c>
      <c r="S112" s="7">
        <f t="array" ref="S112">N112*K112*O112</f>
        <v>391987558.52759999</v>
      </c>
    </row>
    <row r="113" spans="1:19" ht="14.25" customHeight="1" x14ac:dyDescent="0.3">
      <c r="A113">
        <v>112</v>
      </c>
      <c r="B113" s="12">
        <v>45108</v>
      </c>
      <c r="C113" s="5">
        <v>2023</v>
      </c>
      <c r="D113" s="5" t="s">
        <v>25</v>
      </c>
      <c r="E113" s="5" t="s">
        <v>26</v>
      </c>
      <c r="F113" s="6" t="s">
        <v>27</v>
      </c>
      <c r="G113" s="6" t="s">
        <v>21</v>
      </c>
      <c r="H113" s="9" t="s">
        <v>38</v>
      </c>
      <c r="I113" s="9" t="s">
        <v>32</v>
      </c>
      <c r="J113" s="9" t="s">
        <v>31</v>
      </c>
      <c r="K113" s="7">
        <v>14.95</v>
      </c>
      <c r="L113" s="7">
        <v>10.66</v>
      </c>
      <c r="M113" s="8">
        <v>0.28699999999999998</v>
      </c>
      <c r="N113" s="10">
        <v>117060</v>
      </c>
      <c r="O113" s="7">
        <v>225.89</v>
      </c>
      <c r="P113" s="7">
        <f t="array" ref="P113">K113*O113</f>
        <v>3377.0554999999995</v>
      </c>
      <c r="Q113" s="7">
        <f t="array" ref="Q113">L113*O113</f>
        <v>2407.9874</v>
      </c>
      <c r="R113" s="7">
        <f t="array" ref="R113">N113*K113</f>
        <v>1750047</v>
      </c>
      <c r="S113" s="7">
        <f t="array" ref="S113">N113*K113*O113</f>
        <v>395318116.82999998</v>
      </c>
    </row>
    <row r="114" spans="1:19" ht="14.25" customHeight="1" x14ac:dyDescent="0.3">
      <c r="A114">
        <v>113</v>
      </c>
      <c r="B114" s="12">
        <v>45108</v>
      </c>
      <c r="C114" s="5">
        <v>2023</v>
      </c>
      <c r="D114" s="5" t="s">
        <v>25</v>
      </c>
      <c r="E114" s="5" t="s">
        <v>70</v>
      </c>
      <c r="F114" s="6" t="s">
        <v>63</v>
      </c>
      <c r="G114" s="6" t="s">
        <v>36</v>
      </c>
      <c r="H114" s="9" t="s">
        <v>23</v>
      </c>
      <c r="I114" s="9" t="s">
        <v>32</v>
      </c>
      <c r="J114" s="9" t="s">
        <v>31</v>
      </c>
      <c r="K114" s="7">
        <v>14.6</v>
      </c>
      <c r="L114" s="7">
        <v>9.49</v>
      </c>
      <c r="M114" s="8">
        <v>0.35</v>
      </c>
      <c r="N114" s="10">
        <v>185334</v>
      </c>
      <c r="O114" s="7">
        <v>225.89</v>
      </c>
      <c r="P114" s="7">
        <f t="array" ref="P114">K114*O114</f>
        <v>3297.9939999999997</v>
      </c>
      <c r="Q114" s="7">
        <f t="array" ref="Q114">L114*O114</f>
        <v>2143.6961000000001</v>
      </c>
      <c r="R114" s="7">
        <f t="array" ref="R114">N114*K114</f>
        <v>2705876.4</v>
      </c>
      <c r="S114" s="7">
        <f t="array" ref="S114">N114*K114*O114</f>
        <v>611230419.99599993</v>
      </c>
    </row>
    <row r="115" spans="1:19" ht="14.25" customHeight="1" x14ac:dyDescent="0.3">
      <c r="A115">
        <v>114</v>
      </c>
      <c r="B115" s="12">
        <v>45108</v>
      </c>
      <c r="C115" s="5">
        <v>2023</v>
      </c>
      <c r="D115" s="5" t="s">
        <v>39</v>
      </c>
      <c r="E115" s="5" t="s">
        <v>40</v>
      </c>
      <c r="F115" s="6" t="s">
        <v>48</v>
      </c>
      <c r="G115" s="6" t="s">
        <v>21</v>
      </c>
      <c r="H115" s="9" t="s">
        <v>38</v>
      </c>
      <c r="I115" s="9" t="s">
        <v>32</v>
      </c>
      <c r="J115" s="9" t="s">
        <v>31</v>
      </c>
      <c r="K115" s="7">
        <v>5.14</v>
      </c>
      <c r="L115" s="7">
        <v>2.6</v>
      </c>
      <c r="M115" s="8">
        <v>0.49399999999999999</v>
      </c>
      <c r="N115" s="10">
        <v>223474</v>
      </c>
      <c r="O115" s="7">
        <v>225.89</v>
      </c>
      <c r="P115" s="7">
        <f t="array" ref="P115">K115*O115</f>
        <v>1161.0745999999999</v>
      </c>
      <c r="Q115" s="7">
        <f t="array" ref="Q115">L115*O115</f>
        <v>587.31399999999996</v>
      </c>
      <c r="R115" s="7">
        <f t="array" ref="R115">N115*K115</f>
        <v>1148656.3599999999</v>
      </c>
      <c r="S115" s="7">
        <f t="array" ref="S115">N115*K115*O115</f>
        <v>259469985.16039994</v>
      </c>
    </row>
    <row r="116" spans="1:19" ht="14.25" customHeight="1" x14ac:dyDescent="0.3">
      <c r="A116">
        <v>115</v>
      </c>
      <c r="B116" s="12">
        <v>45108</v>
      </c>
      <c r="C116" s="5">
        <v>2023</v>
      </c>
      <c r="D116" s="5" t="s">
        <v>25</v>
      </c>
      <c r="E116" s="5" t="s">
        <v>70</v>
      </c>
      <c r="F116" s="6" t="s">
        <v>27</v>
      </c>
      <c r="G116" s="6" t="s">
        <v>21</v>
      </c>
      <c r="H116" s="9" t="s">
        <v>28</v>
      </c>
      <c r="I116" s="9" t="s">
        <v>32</v>
      </c>
      <c r="J116" s="9" t="s">
        <v>31</v>
      </c>
      <c r="K116" s="7">
        <v>9.4499999999999993</v>
      </c>
      <c r="L116" s="7">
        <v>6.2</v>
      </c>
      <c r="M116" s="8">
        <v>0.34399999999999997</v>
      </c>
      <c r="N116" s="10">
        <v>273707</v>
      </c>
      <c r="O116" s="7">
        <v>225.89</v>
      </c>
      <c r="P116" s="7">
        <f t="array" ref="P116">K116*O116</f>
        <v>2134.6604999999995</v>
      </c>
      <c r="Q116" s="7">
        <f t="array" ref="Q116">L116*O116</f>
        <v>1400.518</v>
      </c>
      <c r="R116" s="7">
        <f t="array" ref="R116">N116*K116</f>
        <v>2586531.15</v>
      </c>
      <c r="S116" s="7">
        <f t="array" ref="S116">N116*K116*O116</f>
        <v>584271521.47349989</v>
      </c>
    </row>
    <row r="117" spans="1:19" ht="14.25" customHeight="1" x14ac:dyDescent="0.3">
      <c r="A117">
        <v>116</v>
      </c>
      <c r="B117" s="12">
        <v>45108</v>
      </c>
      <c r="C117" s="5">
        <v>2023</v>
      </c>
      <c r="D117" s="5" t="s">
        <v>18</v>
      </c>
      <c r="E117" s="5" t="s">
        <v>61</v>
      </c>
      <c r="F117" s="6" t="s">
        <v>20</v>
      </c>
      <c r="G117" s="6" t="s">
        <v>21</v>
      </c>
      <c r="H117" s="9" t="s">
        <v>38</v>
      </c>
      <c r="I117" s="9" t="s">
        <v>29</v>
      </c>
      <c r="J117" s="9" t="s">
        <v>22</v>
      </c>
      <c r="K117" s="7">
        <v>7.38</v>
      </c>
      <c r="L117" s="7">
        <v>5.29</v>
      </c>
      <c r="M117" s="8">
        <v>0.28299999999999997</v>
      </c>
      <c r="N117" s="10">
        <v>257381</v>
      </c>
      <c r="O117" s="7">
        <v>225.89</v>
      </c>
      <c r="P117" s="7">
        <f t="array" ref="P117">K117*O117</f>
        <v>1667.0681999999999</v>
      </c>
      <c r="Q117" s="7">
        <f t="array" ref="Q117">L117*O117</f>
        <v>1194.9580999999998</v>
      </c>
      <c r="R117" s="7">
        <f t="array" ref="R117">N117*K117</f>
        <v>1899471.78</v>
      </c>
      <c r="S117" s="7">
        <f t="array" ref="S117">N117*K117*O117</f>
        <v>429071680.38419998</v>
      </c>
    </row>
    <row r="118" spans="1:19" ht="14.25" customHeight="1" x14ac:dyDescent="0.3">
      <c r="A118">
        <v>117</v>
      </c>
      <c r="B118" s="12">
        <v>45108</v>
      </c>
      <c r="C118" s="5">
        <v>2023</v>
      </c>
      <c r="D118" s="5" t="s">
        <v>33</v>
      </c>
      <c r="E118" s="5" t="s">
        <v>37</v>
      </c>
      <c r="F118" s="6" t="s">
        <v>20</v>
      </c>
      <c r="G118" s="6" t="s">
        <v>36</v>
      </c>
      <c r="H118" s="9" t="s">
        <v>23</v>
      </c>
      <c r="I118" s="9" t="s">
        <v>32</v>
      </c>
      <c r="J118" s="9" t="s">
        <v>31</v>
      </c>
      <c r="K118" s="7">
        <v>14.66</v>
      </c>
      <c r="L118" s="7">
        <v>10.119999999999999</v>
      </c>
      <c r="M118" s="8">
        <v>0.31</v>
      </c>
      <c r="N118" s="10">
        <v>80346</v>
      </c>
      <c r="O118" s="7">
        <v>225.89</v>
      </c>
      <c r="P118" s="7">
        <f t="array" ref="P118">K118*O118</f>
        <v>3311.5473999999999</v>
      </c>
      <c r="Q118" s="7">
        <f t="array" ref="Q118">L118*O118</f>
        <v>2286.0067999999997</v>
      </c>
      <c r="R118" s="7">
        <f t="array" ref="R118">N118*K118</f>
        <v>1177872.3600000001</v>
      </c>
      <c r="S118" s="7">
        <f t="array" ref="S118">N118*K118*O118</f>
        <v>266069587.40040001</v>
      </c>
    </row>
    <row r="119" spans="1:19" ht="14.25" customHeight="1" x14ac:dyDescent="0.3">
      <c r="A119">
        <v>118</v>
      </c>
      <c r="B119" s="12">
        <v>45108</v>
      </c>
      <c r="C119" s="5">
        <v>2023</v>
      </c>
      <c r="D119" s="5" t="s">
        <v>50</v>
      </c>
      <c r="E119" s="5" t="s">
        <v>60</v>
      </c>
      <c r="F119" s="6" t="s">
        <v>52</v>
      </c>
      <c r="G119" s="6" t="s">
        <v>64</v>
      </c>
      <c r="H119" s="9" t="s">
        <v>28</v>
      </c>
      <c r="I119" s="9" t="s">
        <v>46</v>
      </c>
      <c r="J119" s="9" t="s">
        <v>22</v>
      </c>
      <c r="K119" s="7">
        <v>17.399999999999999</v>
      </c>
      <c r="L119" s="7">
        <v>12.3</v>
      </c>
      <c r="M119" s="8">
        <v>0.29299999999999998</v>
      </c>
      <c r="N119" s="10">
        <v>272979</v>
      </c>
      <c r="O119" s="7">
        <v>225.89</v>
      </c>
      <c r="P119" s="7">
        <f t="array" ref="P119">K119*O119</f>
        <v>3930.4859999999994</v>
      </c>
      <c r="Q119" s="7">
        <f t="array" ref="Q119">L119*O119</f>
        <v>2778.4470000000001</v>
      </c>
      <c r="R119" s="7">
        <f t="array" ref="R119">N119*K119</f>
        <v>4749834.5999999996</v>
      </c>
      <c r="S119" s="7">
        <f t="array" ref="S119">N119*K119*O119</f>
        <v>1072940137.7939999</v>
      </c>
    </row>
    <row r="120" spans="1:19" ht="14.25" customHeight="1" x14ac:dyDescent="0.3">
      <c r="A120">
        <v>119</v>
      </c>
      <c r="B120" s="12">
        <v>45108</v>
      </c>
      <c r="C120" s="5">
        <v>2023</v>
      </c>
      <c r="D120" s="5" t="s">
        <v>39</v>
      </c>
      <c r="E120" s="5" t="s">
        <v>40</v>
      </c>
      <c r="F120" s="6" t="s">
        <v>20</v>
      </c>
      <c r="G120" s="6" t="s">
        <v>21</v>
      </c>
      <c r="H120" s="9" t="s">
        <v>38</v>
      </c>
      <c r="I120" s="9" t="s">
        <v>24</v>
      </c>
      <c r="J120" s="9" t="s">
        <v>49</v>
      </c>
      <c r="K120" s="7">
        <v>11.68</v>
      </c>
      <c r="L120" s="7">
        <v>7.89</v>
      </c>
      <c r="M120" s="8">
        <v>0.32400000000000001</v>
      </c>
      <c r="N120" s="10">
        <v>240644</v>
      </c>
      <c r="O120" s="7">
        <v>225.89</v>
      </c>
      <c r="P120" s="7">
        <f t="array" ref="P120">K120*O120</f>
        <v>2638.3951999999999</v>
      </c>
      <c r="Q120" s="7">
        <f t="array" ref="Q120">L120*O120</f>
        <v>1782.2720999999999</v>
      </c>
      <c r="R120" s="7">
        <f t="array" ref="R120">N120*K120</f>
        <v>2810721.92</v>
      </c>
      <c r="S120" s="7">
        <f t="array" ref="S120">N120*K120*O120</f>
        <v>634913974.50879991</v>
      </c>
    </row>
    <row r="121" spans="1:19" ht="14.25" customHeight="1" x14ac:dyDescent="0.3">
      <c r="A121">
        <v>120</v>
      </c>
      <c r="B121" s="12">
        <v>45108</v>
      </c>
      <c r="C121" s="5">
        <v>2023</v>
      </c>
      <c r="D121" s="5" t="s">
        <v>18</v>
      </c>
      <c r="E121" s="5" t="s">
        <v>59</v>
      </c>
      <c r="F121" s="6" t="s">
        <v>55</v>
      </c>
      <c r="G121" s="6" t="s">
        <v>36</v>
      </c>
      <c r="H121" s="9" t="s">
        <v>23</v>
      </c>
      <c r="I121" s="9" t="s">
        <v>24</v>
      </c>
      <c r="J121" s="9" t="s">
        <v>31</v>
      </c>
      <c r="K121" s="7">
        <v>8.8800000000000008</v>
      </c>
      <c r="L121" s="7">
        <v>5.58</v>
      </c>
      <c r="M121" s="8">
        <v>0.372</v>
      </c>
      <c r="N121" s="10">
        <v>123338</v>
      </c>
      <c r="O121" s="7">
        <v>225.89</v>
      </c>
      <c r="P121" s="7">
        <f t="array" ref="P121">K121*O121</f>
        <v>2005.9032</v>
      </c>
      <c r="Q121" s="7">
        <f t="array" ref="Q121">L121*O121</f>
        <v>1260.4661999999998</v>
      </c>
      <c r="R121" s="7">
        <f t="array" ref="R121">N121*K121</f>
        <v>1095241.4400000002</v>
      </c>
      <c r="S121" s="7">
        <f t="array" ref="S121">N121*K121*O121</f>
        <v>247404088.88160002</v>
      </c>
    </row>
    <row r="122" spans="1:19" ht="14.25" customHeight="1" x14ac:dyDescent="0.3">
      <c r="A122">
        <v>121</v>
      </c>
      <c r="B122" s="12">
        <v>45108</v>
      </c>
      <c r="C122" s="5">
        <v>2023</v>
      </c>
      <c r="D122" s="5" t="s">
        <v>33</v>
      </c>
      <c r="E122" s="5" t="s">
        <v>34</v>
      </c>
      <c r="F122" s="6" t="s">
        <v>47</v>
      </c>
      <c r="G122" s="6" t="s">
        <v>21</v>
      </c>
      <c r="H122" s="9" t="s">
        <v>28</v>
      </c>
      <c r="I122" s="9" t="s">
        <v>29</v>
      </c>
      <c r="J122" s="9" t="s">
        <v>49</v>
      </c>
      <c r="K122" s="7">
        <v>17.84</v>
      </c>
      <c r="L122" s="7">
        <v>11.44</v>
      </c>
      <c r="M122" s="8">
        <v>0.35899999999999999</v>
      </c>
      <c r="N122" s="10">
        <v>228397</v>
      </c>
      <c r="O122" s="7">
        <v>225.89</v>
      </c>
      <c r="P122" s="7">
        <f t="array" ref="P122">K122*O122</f>
        <v>4029.8775999999998</v>
      </c>
      <c r="Q122" s="7">
        <f t="array" ref="Q122">L122*O122</f>
        <v>2584.1815999999999</v>
      </c>
      <c r="R122" s="7">
        <f t="array" ref="R122">N122*K122</f>
        <v>4074602.48</v>
      </c>
      <c r="S122" s="7">
        <f t="array" ref="S122">N122*K122*O122</f>
        <v>920411954.20719993</v>
      </c>
    </row>
    <row r="123" spans="1:19" ht="14.25" customHeight="1" x14ac:dyDescent="0.3">
      <c r="A123">
        <v>122</v>
      </c>
      <c r="B123" s="12">
        <v>45108</v>
      </c>
      <c r="C123" s="5">
        <v>2023</v>
      </c>
      <c r="D123" s="5" t="s">
        <v>42</v>
      </c>
      <c r="E123" s="5" t="s">
        <v>43</v>
      </c>
      <c r="F123" s="6" t="s">
        <v>44</v>
      </c>
      <c r="G123" s="6" t="s">
        <v>21</v>
      </c>
      <c r="H123" s="9" t="s">
        <v>23</v>
      </c>
      <c r="I123" s="9" t="s">
        <v>29</v>
      </c>
      <c r="J123" s="9" t="s">
        <v>22</v>
      </c>
      <c r="K123" s="7">
        <v>9.11</v>
      </c>
      <c r="L123" s="7">
        <v>6.93</v>
      </c>
      <c r="M123" s="8">
        <v>0.23899999999999999</v>
      </c>
      <c r="N123" s="10">
        <v>61953</v>
      </c>
      <c r="O123" s="7">
        <v>225.89</v>
      </c>
      <c r="P123" s="7">
        <f t="array" ref="P123">K123*O123</f>
        <v>2057.8579</v>
      </c>
      <c r="Q123" s="7">
        <f t="array" ref="Q123">L123*O123</f>
        <v>1565.4176999999997</v>
      </c>
      <c r="R123" s="7">
        <f t="array" ref="R123">N123*K123</f>
        <v>564391.82999999996</v>
      </c>
      <c r="S123" s="7">
        <f t="array" ref="S123">N123*K123*O123</f>
        <v>127490470.47869998</v>
      </c>
    </row>
    <row r="124" spans="1:19" ht="14.25" customHeight="1" x14ac:dyDescent="0.3">
      <c r="A124">
        <v>123</v>
      </c>
      <c r="B124" s="12">
        <v>45108</v>
      </c>
      <c r="C124" s="5">
        <v>2023</v>
      </c>
      <c r="D124" s="5" t="s">
        <v>18</v>
      </c>
      <c r="E124" s="5" t="s">
        <v>61</v>
      </c>
      <c r="F124" s="6" t="s">
        <v>20</v>
      </c>
      <c r="G124" s="6" t="s">
        <v>21</v>
      </c>
      <c r="H124" s="9" t="s">
        <v>28</v>
      </c>
      <c r="I124" s="9" t="s">
        <v>32</v>
      </c>
      <c r="J124" s="9" t="s">
        <v>31</v>
      </c>
      <c r="K124" s="7">
        <v>16.25</v>
      </c>
      <c r="L124" s="7">
        <v>11.6</v>
      </c>
      <c r="M124" s="8">
        <v>0.28599999999999998</v>
      </c>
      <c r="N124" s="10">
        <v>286062</v>
      </c>
      <c r="O124" s="7">
        <v>225.89</v>
      </c>
      <c r="P124" s="7">
        <f t="array" ref="P124">K124*O124</f>
        <v>3670.7124999999996</v>
      </c>
      <c r="Q124" s="7">
        <f t="array" ref="Q124">L124*O124</f>
        <v>2620.3239999999996</v>
      </c>
      <c r="R124" s="7">
        <f t="array" ref="R124">N124*K124</f>
        <v>4648507.5</v>
      </c>
      <c r="S124" s="7">
        <f t="array" ref="S124">N124*K124*O124</f>
        <v>1050051359.175</v>
      </c>
    </row>
    <row r="125" spans="1:19" ht="14.25" customHeight="1" x14ac:dyDescent="0.3">
      <c r="A125">
        <v>124</v>
      </c>
      <c r="B125" s="12">
        <v>45108</v>
      </c>
      <c r="C125" s="5">
        <v>2023</v>
      </c>
      <c r="D125" s="5" t="s">
        <v>39</v>
      </c>
      <c r="E125" s="5" t="s">
        <v>65</v>
      </c>
      <c r="F125" s="6" t="s">
        <v>41</v>
      </c>
      <c r="G125" s="6" t="s">
        <v>21</v>
      </c>
      <c r="H125" s="9" t="s">
        <v>28</v>
      </c>
      <c r="I125" s="9" t="s">
        <v>32</v>
      </c>
      <c r="J125" s="9" t="s">
        <v>49</v>
      </c>
      <c r="K125" s="7">
        <v>12.68</v>
      </c>
      <c r="L125" s="7">
        <v>7.08</v>
      </c>
      <c r="M125" s="8">
        <v>0.442</v>
      </c>
      <c r="N125" s="10">
        <v>185598</v>
      </c>
      <c r="O125" s="7">
        <v>225.89</v>
      </c>
      <c r="P125" s="7">
        <f t="array" ref="P125">K125*O125</f>
        <v>2864.2851999999998</v>
      </c>
      <c r="Q125" s="7">
        <f t="array" ref="Q125">L125*O125</f>
        <v>1599.3011999999999</v>
      </c>
      <c r="R125" s="7">
        <f t="array" ref="R125">N125*K125</f>
        <v>2353382.64</v>
      </c>
      <c r="S125" s="7">
        <f t="array" ref="S125">N125*K125*O125</f>
        <v>531605604.54960001</v>
      </c>
    </row>
    <row r="126" spans="1:19" ht="14.25" customHeight="1" x14ac:dyDescent="0.3">
      <c r="A126">
        <v>125</v>
      </c>
      <c r="B126" s="12">
        <v>45108</v>
      </c>
      <c r="C126" s="5">
        <v>2023</v>
      </c>
      <c r="D126" s="5" t="s">
        <v>33</v>
      </c>
      <c r="E126" s="5" t="s">
        <v>34</v>
      </c>
      <c r="F126" s="6" t="s">
        <v>20</v>
      </c>
      <c r="G126" s="6" t="s">
        <v>21</v>
      </c>
      <c r="H126" s="9" t="s">
        <v>23</v>
      </c>
      <c r="I126" s="9" t="s">
        <v>24</v>
      </c>
      <c r="J126" s="9" t="s">
        <v>22</v>
      </c>
      <c r="K126" s="7">
        <v>13.55</v>
      </c>
      <c r="L126" s="7">
        <v>9.2200000000000006</v>
      </c>
      <c r="M126" s="8">
        <v>0.32</v>
      </c>
      <c r="N126" s="10">
        <v>258205</v>
      </c>
      <c r="O126" s="7">
        <v>225.89</v>
      </c>
      <c r="P126" s="7">
        <f t="array" ref="P126">K126*O126</f>
        <v>3060.8094999999998</v>
      </c>
      <c r="Q126" s="7">
        <f t="array" ref="Q126">L126*O126</f>
        <v>2082.7058000000002</v>
      </c>
      <c r="R126" s="7">
        <f t="array" ref="R126">N126*K126</f>
        <v>3498677.75</v>
      </c>
      <c r="S126" s="7">
        <f t="array" ref="S126">N126*K126*O126</f>
        <v>790316316.94749999</v>
      </c>
    </row>
    <row r="127" spans="1:19" ht="14.25" customHeight="1" x14ac:dyDescent="0.3">
      <c r="A127">
        <v>126</v>
      </c>
      <c r="B127" s="12">
        <v>45108</v>
      </c>
      <c r="C127" s="5">
        <v>2023</v>
      </c>
      <c r="D127" s="5" t="s">
        <v>42</v>
      </c>
      <c r="E127" s="5" t="s">
        <v>43</v>
      </c>
      <c r="F127" s="6" t="s">
        <v>69</v>
      </c>
      <c r="G127" s="6" t="s">
        <v>21</v>
      </c>
      <c r="H127" s="9" t="s">
        <v>38</v>
      </c>
      <c r="I127" s="9" t="s">
        <v>32</v>
      </c>
      <c r="J127" s="9" t="s">
        <v>22</v>
      </c>
      <c r="K127" s="7">
        <v>15.32</v>
      </c>
      <c r="L127" s="7">
        <v>11.09</v>
      </c>
      <c r="M127" s="8">
        <v>0.27600000000000002</v>
      </c>
      <c r="N127" s="10">
        <v>106193</v>
      </c>
      <c r="O127" s="7">
        <v>225.89</v>
      </c>
      <c r="P127" s="7">
        <f t="array" ref="P127">K127*O127</f>
        <v>3460.6347999999998</v>
      </c>
      <c r="Q127" s="7">
        <f t="array" ref="Q127">L127*O127</f>
        <v>2505.1200999999996</v>
      </c>
      <c r="R127" s="7">
        <f t="array" ref="R127">N127*K127</f>
        <v>1626876.76</v>
      </c>
      <c r="S127" s="7">
        <f t="array" ref="S127">N127*K127*O127</f>
        <v>367495191.31639999</v>
      </c>
    </row>
    <row r="128" spans="1:19" ht="14.25" customHeight="1" x14ac:dyDescent="0.3">
      <c r="A128">
        <v>127</v>
      </c>
      <c r="B128" s="12">
        <v>45108</v>
      </c>
      <c r="C128" s="5">
        <v>2023</v>
      </c>
      <c r="D128" s="5" t="s">
        <v>25</v>
      </c>
      <c r="E128" s="5" t="s">
        <v>70</v>
      </c>
      <c r="F128" s="6" t="s">
        <v>30</v>
      </c>
      <c r="G128" s="6" t="s">
        <v>21</v>
      </c>
      <c r="H128" s="9" t="s">
        <v>28</v>
      </c>
      <c r="I128" s="9" t="s">
        <v>29</v>
      </c>
      <c r="J128" s="9" t="s">
        <v>22</v>
      </c>
      <c r="K128" s="7">
        <v>5.18</v>
      </c>
      <c r="L128" s="7">
        <v>2.62</v>
      </c>
      <c r="M128" s="8">
        <v>0.49399999999999999</v>
      </c>
      <c r="N128" s="10">
        <v>96972</v>
      </c>
      <c r="O128" s="7">
        <v>225.89</v>
      </c>
      <c r="P128" s="7">
        <f t="array" ref="P128">K128*O128</f>
        <v>1170.1101999999998</v>
      </c>
      <c r="Q128" s="7">
        <f t="array" ref="Q128">L128*O128</f>
        <v>591.83180000000004</v>
      </c>
      <c r="R128" s="7">
        <f t="array" ref="R128">N128*K128</f>
        <v>502314.95999999996</v>
      </c>
      <c r="S128" s="7">
        <f t="array" ref="S128">N128*K128*O128</f>
        <v>113467926.31439999</v>
      </c>
    </row>
    <row r="129" spans="1:19" ht="14.25" customHeight="1" x14ac:dyDescent="0.3">
      <c r="A129">
        <v>128</v>
      </c>
      <c r="B129" s="12">
        <v>45108</v>
      </c>
      <c r="C129" s="5">
        <v>2023</v>
      </c>
      <c r="D129" s="5" t="s">
        <v>18</v>
      </c>
      <c r="E129" s="5" t="s">
        <v>61</v>
      </c>
      <c r="F129" s="6" t="s">
        <v>55</v>
      </c>
      <c r="G129" s="6" t="s">
        <v>64</v>
      </c>
      <c r="H129" s="9" t="s">
        <v>23</v>
      </c>
      <c r="I129" s="9" t="s">
        <v>32</v>
      </c>
      <c r="J129" s="9" t="s">
        <v>31</v>
      </c>
      <c r="K129" s="7">
        <v>12.25</v>
      </c>
      <c r="L129" s="7">
        <v>6.68</v>
      </c>
      <c r="M129" s="8">
        <v>0.45500000000000002</v>
      </c>
      <c r="N129" s="10">
        <v>129509</v>
      </c>
      <c r="O129" s="7">
        <v>225.89</v>
      </c>
      <c r="P129" s="7">
        <f t="array" ref="P129">K129*O129</f>
        <v>2767.1524999999997</v>
      </c>
      <c r="Q129" s="7">
        <f t="array" ref="Q129">L129*O129</f>
        <v>1508.9451999999999</v>
      </c>
      <c r="R129" s="7">
        <f t="array" ref="R129">N129*K129</f>
        <v>1586485.25</v>
      </c>
      <c r="S129" s="7">
        <f t="array" ref="S129">N129*K129*O129</f>
        <v>358371153.1225</v>
      </c>
    </row>
    <row r="130" spans="1:19" ht="14.25" customHeight="1" x14ac:dyDescent="0.3">
      <c r="A130">
        <v>129</v>
      </c>
      <c r="B130" s="12">
        <v>45108</v>
      </c>
      <c r="C130" s="5">
        <v>2023</v>
      </c>
      <c r="D130" s="5" t="s">
        <v>50</v>
      </c>
      <c r="E130" s="5" t="s">
        <v>60</v>
      </c>
      <c r="F130" s="6" t="s">
        <v>62</v>
      </c>
      <c r="G130" s="6" t="s">
        <v>36</v>
      </c>
      <c r="H130" s="9" t="s">
        <v>28</v>
      </c>
      <c r="I130" s="9" t="s">
        <v>46</v>
      </c>
      <c r="J130" s="9" t="s">
        <v>49</v>
      </c>
      <c r="K130" s="7">
        <v>9.0299999999999994</v>
      </c>
      <c r="L130" s="7">
        <v>5.01</v>
      </c>
      <c r="M130" s="8">
        <v>0.44500000000000001</v>
      </c>
      <c r="N130" s="10">
        <v>281922</v>
      </c>
      <c r="O130" s="7">
        <v>225.89</v>
      </c>
      <c r="P130" s="7">
        <f t="array" ref="P130">K130*O130</f>
        <v>2039.7866999999997</v>
      </c>
      <c r="Q130" s="7">
        <f t="array" ref="Q130">L130*O130</f>
        <v>1131.7088999999999</v>
      </c>
      <c r="R130" s="7">
        <f t="array" ref="R130">N130*K130</f>
        <v>2545755.6599999997</v>
      </c>
      <c r="S130" s="7">
        <f t="array" ref="S130">N130*K130*O130</f>
        <v>575060746.03739989</v>
      </c>
    </row>
    <row r="131" spans="1:19" ht="14.25" customHeight="1" x14ac:dyDescent="0.3">
      <c r="A131">
        <v>130</v>
      </c>
      <c r="B131" s="12">
        <v>45108</v>
      </c>
      <c r="C131" s="5">
        <v>2023</v>
      </c>
      <c r="D131" s="5" t="s">
        <v>33</v>
      </c>
      <c r="E131" s="5" t="s">
        <v>34</v>
      </c>
      <c r="F131" s="6" t="s">
        <v>47</v>
      </c>
      <c r="G131" s="6" t="s">
        <v>21</v>
      </c>
      <c r="H131" s="9" t="s">
        <v>23</v>
      </c>
      <c r="I131" s="9" t="s">
        <v>29</v>
      </c>
      <c r="J131" s="9" t="s">
        <v>31</v>
      </c>
      <c r="K131" s="7">
        <v>5.5</v>
      </c>
      <c r="L131" s="7">
        <v>4.0599999999999996</v>
      </c>
      <c r="M131" s="8">
        <v>0.26200000000000001</v>
      </c>
      <c r="N131" s="10">
        <v>262130</v>
      </c>
      <c r="O131" s="7">
        <v>225.89</v>
      </c>
      <c r="P131" s="7">
        <f t="array" ref="P131">K131*O131</f>
        <v>1242.395</v>
      </c>
      <c r="Q131" s="7">
        <f t="array" ref="Q131">L131*O131</f>
        <v>917.11339999999984</v>
      </c>
      <c r="R131" s="7">
        <f t="array" ref="R131">N131*K131</f>
        <v>1441715</v>
      </c>
      <c r="S131" s="7">
        <f t="array" ref="S131">N131*K131*O131</f>
        <v>325669001.34999996</v>
      </c>
    </row>
    <row r="132" spans="1:19" ht="14.25" customHeight="1" x14ac:dyDescent="0.3">
      <c r="A132">
        <v>131</v>
      </c>
      <c r="B132" s="12">
        <v>45139</v>
      </c>
      <c r="C132" s="5">
        <v>2023</v>
      </c>
      <c r="D132" s="5" t="s">
        <v>18</v>
      </c>
      <c r="E132" s="5" t="s">
        <v>61</v>
      </c>
      <c r="F132" s="6" t="s">
        <v>20</v>
      </c>
      <c r="G132" s="6" t="s">
        <v>21</v>
      </c>
      <c r="H132" s="9" t="s">
        <v>28</v>
      </c>
      <c r="I132" s="9" t="s">
        <v>24</v>
      </c>
      <c r="J132" s="9" t="s">
        <v>49</v>
      </c>
      <c r="K132" s="7">
        <v>9.73</v>
      </c>
      <c r="L132" s="7">
        <v>6.3</v>
      </c>
      <c r="M132" s="8">
        <v>0.35299999999999998</v>
      </c>
      <c r="N132" s="10">
        <v>177456</v>
      </c>
      <c r="O132" s="7">
        <v>276.14999999999998</v>
      </c>
      <c r="P132" s="7">
        <f t="array" ref="P132">K132*O132</f>
        <v>2686.9395</v>
      </c>
      <c r="Q132" s="7">
        <f t="array" ref="Q132">L132*O132</f>
        <v>1739.7449999999999</v>
      </c>
      <c r="R132" s="7">
        <f t="array" ref="R132">N132*K132</f>
        <v>1726646.8800000001</v>
      </c>
      <c r="S132" s="7">
        <f t="array" ref="S132">N132*K132*O132</f>
        <v>476813535.912</v>
      </c>
    </row>
    <row r="133" spans="1:19" ht="14.25" customHeight="1" x14ac:dyDescent="0.3">
      <c r="A133">
        <v>132</v>
      </c>
      <c r="B133" s="12">
        <v>45139</v>
      </c>
      <c r="C133" s="5">
        <v>2023</v>
      </c>
      <c r="D133" s="5" t="s">
        <v>42</v>
      </c>
      <c r="E133" s="5" t="s">
        <v>66</v>
      </c>
      <c r="F133" s="6" t="s">
        <v>44</v>
      </c>
      <c r="G133" s="6" t="s">
        <v>36</v>
      </c>
      <c r="H133" s="9" t="s">
        <v>23</v>
      </c>
      <c r="I133" s="9" t="s">
        <v>32</v>
      </c>
      <c r="J133" s="9" t="s">
        <v>49</v>
      </c>
      <c r="K133" s="7">
        <v>11.35</v>
      </c>
      <c r="L133" s="7">
        <v>7.65</v>
      </c>
      <c r="M133" s="8">
        <v>0.32600000000000001</v>
      </c>
      <c r="N133" s="10">
        <v>59981</v>
      </c>
      <c r="O133" s="7">
        <v>276.14999999999998</v>
      </c>
      <c r="P133" s="7">
        <f t="array" ref="P133">K133*O133</f>
        <v>3134.3024999999998</v>
      </c>
      <c r="Q133" s="7">
        <f t="array" ref="Q133">L133*O133</f>
        <v>2112.5475000000001</v>
      </c>
      <c r="R133" s="7">
        <f t="array" ref="R133">N133*K133</f>
        <v>680784.35</v>
      </c>
      <c r="S133" s="7">
        <f t="array" ref="S133">N133*K133*O133</f>
        <v>187998598.25249997</v>
      </c>
    </row>
    <row r="134" spans="1:19" ht="14.25" customHeight="1" x14ac:dyDescent="0.3">
      <c r="A134">
        <v>133</v>
      </c>
      <c r="B134" s="12">
        <v>45139</v>
      </c>
      <c r="C134" s="5">
        <v>2023</v>
      </c>
      <c r="D134" s="5" t="s">
        <v>42</v>
      </c>
      <c r="E134" s="5" t="s">
        <v>43</v>
      </c>
      <c r="F134" s="6" t="s">
        <v>45</v>
      </c>
      <c r="G134" s="6" t="s">
        <v>36</v>
      </c>
      <c r="H134" s="9" t="s">
        <v>23</v>
      </c>
      <c r="I134" s="9" t="s">
        <v>29</v>
      </c>
      <c r="J134" s="9" t="s">
        <v>31</v>
      </c>
      <c r="K134" s="7">
        <v>17.09</v>
      </c>
      <c r="L134" s="7">
        <v>12.99</v>
      </c>
      <c r="M134" s="8">
        <v>0.24</v>
      </c>
      <c r="N134" s="10">
        <v>208617</v>
      </c>
      <c r="O134" s="7">
        <v>276.14999999999998</v>
      </c>
      <c r="P134" s="7">
        <f t="array" ref="P134">K134*O134</f>
        <v>4719.4034999999994</v>
      </c>
      <c r="Q134" s="7">
        <f t="array" ref="Q134">L134*O134</f>
        <v>3587.1884999999997</v>
      </c>
      <c r="R134" s="7">
        <f t="array" ref="R134">N134*K134</f>
        <v>3565264.53</v>
      </c>
      <c r="S134" s="7">
        <f t="array" ref="S134">N134*K134*O134</f>
        <v>984547799.95949984</v>
      </c>
    </row>
    <row r="135" spans="1:19" ht="14.25" customHeight="1" x14ac:dyDescent="0.3">
      <c r="A135">
        <v>134</v>
      </c>
      <c r="B135" s="12">
        <v>45139</v>
      </c>
      <c r="C135" s="5">
        <v>2023</v>
      </c>
      <c r="D135" s="5" t="s">
        <v>33</v>
      </c>
      <c r="E135" s="5" t="s">
        <v>34</v>
      </c>
      <c r="F135" s="6" t="s">
        <v>35</v>
      </c>
      <c r="G135" s="6" t="s">
        <v>21</v>
      </c>
      <c r="H135" s="9" t="s">
        <v>23</v>
      </c>
      <c r="I135" s="9" t="s">
        <v>32</v>
      </c>
      <c r="J135" s="9" t="s">
        <v>22</v>
      </c>
      <c r="K135" s="7">
        <v>15.55</v>
      </c>
      <c r="L135" s="7">
        <v>9.89</v>
      </c>
      <c r="M135" s="8">
        <v>0.36399999999999999</v>
      </c>
      <c r="N135" s="10">
        <v>183350</v>
      </c>
      <c r="O135" s="7">
        <v>276.14999999999998</v>
      </c>
      <c r="P135" s="7">
        <f t="array" ref="P135">K135*O135</f>
        <v>4294.1324999999997</v>
      </c>
      <c r="Q135" s="7">
        <f t="array" ref="Q135">L135*O135</f>
        <v>2731.1235000000001</v>
      </c>
      <c r="R135" s="7">
        <f t="array" ref="R135">N135*K135</f>
        <v>2851092.5</v>
      </c>
      <c r="S135" s="7">
        <f t="array" ref="S135">N135*K135*O135</f>
        <v>787329193.87499988</v>
      </c>
    </row>
    <row r="136" spans="1:19" ht="14.25" customHeight="1" x14ac:dyDescent="0.3">
      <c r="A136">
        <v>135</v>
      </c>
      <c r="B136" s="12">
        <v>45139</v>
      </c>
      <c r="C136" s="5">
        <v>2023</v>
      </c>
      <c r="D136" s="5" t="s">
        <v>39</v>
      </c>
      <c r="E136" s="5" t="s">
        <v>65</v>
      </c>
      <c r="F136" s="6" t="s">
        <v>48</v>
      </c>
      <c r="G136" s="6" t="s">
        <v>36</v>
      </c>
      <c r="H136" s="9" t="s">
        <v>28</v>
      </c>
      <c r="I136" s="9" t="s">
        <v>32</v>
      </c>
      <c r="J136" s="9" t="s">
        <v>31</v>
      </c>
      <c r="K136" s="7">
        <v>5.82</v>
      </c>
      <c r="L136" s="7">
        <v>3.82</v>
      </c>
      <c r="M136" s="8">
        <v>0.34399999999999997</v>
      </c>
      <c r="N136" s="10">
        <v>57264</v>
      </c>
      <c r="O136" s="7">
        <v>276.14999999999998</v>
      </c>
      <c r="P136" s="7">
        <f t="array" ref="P136">K136*O136</f>
        <v>1607.193</v>
      </c>
      <c r="Q136" s="7">
        <f t="array" ref="Q136">L136*O136</f>
        <v>1054.8929999999998</v>
      </c>
      <c r="R136" s="7">
        <f t="array" ref="R136">N136*K136</f>
        <v>333276.48000000004</v>
      </c>
      <c r="S136" s="7">
        <f t="array" ref="S136">N136*K136*O136</f>
        <v>92034299.952000007</v>
      </c>
    </row>
    <row r="137" spans="1:19" ht="14.25" customHeight="1" x14ac:dyDescent="0.3">
      <c r="A137">
        <v>136</v>
      </c>
      <c r="B137" s="12">
        <v>45139</v>
      </c>
      <c r="C137" s="5">
        <v>2023</v>
      </c>
      <c r="D137" s="5" t="s">
        <v>25</v>
      </c>
      <c r="E137" s="5" t="s">
        <v>70</v>
      </c>
      <c r="F137" s="6" t="s">
        <v>30</v>
      </c>
      <c r="G137" s="6" t="s">
        <v>21</v>
      </c>
      <c r="H137" s="9" t="s">
        <v>23</v>
      </c>
      <c r="I137" s="9" t="s">
        <v>32</v>
      </c>
      <c r="J137" s="9" t="s">
        <v>31</v>
      </c>
      <c r="K137" s="7">
        <v>16.600000000000001</v>
      </c>
      <c r="L137" s="7">
        <v>13.24</v>
      </c>
      <c r="M137" s="8">
        <v>0.20200000000000001</v>
      </c>
      <c r="N137" s="10">
        <v>149272</v>
      </c>
      <c r="O137" s="7">
        <v>276.14999999999998</v>
      </c>
      <c r="P137" s="7">
        <f t="array" ref="P137">K137*O137</f>
        <v>4584.09</v>
      </c>
      <c r="Q137" s="7">
        <f t="array" ref="Q137">L137*O137</f>
        <v>3656.2259999999997</v>
      </c>
      <c r="R137" s="7">
        <f t="array" ref="R137">N137*K137</f>
        <v>2477915.2000000002</v>
      </c>
      <c r="S137" s="7">
        <f t="array" ref="S137">N137*K137*O137</f>
        <v>684276282.48000002</v>
      </c>
    </row>
    <row r="138" spans="1:19" ht="14.25" customHeight="1" x14ac:dyDescent="0.3">
      <c r="A138">
        <v>137</v>
      </c>
      <c r="B138" s="12">
        <v>45139</v>
      </c>
      <c r="C138" s="5">
        <v>2023</v>
      </c>
      <c r="D138" s="5" t="s">
        <v>18</v>
      </c>
      <c r="E138" s="5" t="s">
        <v>19</v>
      </c>
      <c r="F138" s="6" t="s">
        <v>20</v>
      </c>
      <c r="G138" s="6" t="s">
        <v>21</v>
      </c>
      <c r="H138" s="9" t="s">
        <v>23</v>
      </c>
      <c r="I138" s="9" t="s">
        <v>29</v>
      </c>
      <c r="J138" s="9" t="s">
        <v>22</v>
      </c>
      <c r="K138" s="7">
        <v>18.899999999999999</v>
      </c>
      <c r="L138" s="7">
        <v>10.14</v>
      </c>
      <c r="M138" s="8">
        <v>0.46300000000000002</v>
      </c>
      <c r="N138" s="10">
        <v>294410</v>
      </c>
      <c r="O138" s="7">
        <v>276.14999999999998</v>
      </c>
      <c r="P138" s="7">
        <f t="array" ref="P138">K138*O138</f>
        <v>5219.2349999999988</v>
      </c>
      <c r="Q138" s="7">
        <f t="array" ref="Q138">L138*O138</f>
        <v>2800.1610000000001</v>
      </c>
      <c r="R138" s="7">
        <f t="array" ref="R138">N138*K138</f>
        <v>5564349</v>
      </c>
      <c r="S138" s="7">
        <f t="array" ref="S138">N138*K138*O138</f>
        <v>1536594976.3499999</v>
      </c>
    </row>
    <row r="139" spans="1:19" ht="14.25" customHeight="1" x14ac:dyDescent="0.3">
      <c r="A139">
        <v>138</v>
      </c>
      <c r="B139" s="12">
        <v>45139</v>
      </c>
      <c r="C139" s="5">
        <v>2023</v>
      </c>
      <c r="D139" s="5" t="s">
        <v>50</v>
      </c>
      <c r="E139" s="5" t="s">
        <v>67</v>
      </c>
      <c r="F139" s="6" t="s">
        <v>62</v>
      </c>
      <c r="G139" s="6" t="s">
        <v>36</v>
      </c>
      <c r="H139" s="9" t="s">
        <v>38</v>
      </c>
      <c r="I139" s="9" t="s">
        <v>32</v>
      </c>
      <c r="J139" s="9" t="s">
        <v>31</v>
      </c>
      <c r="K139" s="7">
        <v>13.23</v>
      </c>
      <c r="L139" s="7">
        <v>9.7100000000000009</v>
      </c>
      <c r="M139" s="8">
        <v>0.26600000000000001</v>
      </c>
      <c r="N139" s="10">
        <v>256266</v>
      </c>
      <c r="O139" s="7">
        <v>276.14999999999998</v>
      </c>
      <c r="P139" s="7">
        <f t="array" ref="P139">K139*O139</f>
        <v>3653.4645</v>
      </c>
      <c r="Q139" s="7">
        <f t="array" ref="Q139">L139*O139</f>
        <v>2681.4164999999998</v>
      </c>
      <c r="R139" s="7">
        <f t="array" ref="R139">N139*K139</f>
        <v>3390399.18</v>
      </c>
      <c r="S139" s="7">
        <f t="array" ref="S139">N139*K139*O139</f>
        <v>936258733.55699992</v>
      </c>
    </row>
    <row r="140" spans="1:19" ht="14.25" customHeight="1" x14ac:dyDescent="0.3">
      <c r="A140">
        <v>139</v>
      </c>
      <c r="B140" s="12">
        <v>45139</v>
      </c>
      <c r="C140" s="5">
        <v>2023</v>
      </c>
      <c r="D140" s="5" t="s">
        <v>18</v>
      </c>
      <c r="E140" s="5" t="s">
        <v>19</v>
      </c>
      <c r="F140" s="6" t="s">
        <v>55</v>
      </c>
      <c r="G140" s="6" t="s">
        <v>21</v>
      </c>
      <c r="H140" s="9" t="s">
        <v>23</v>
      </c>
      <c r="I140" s="9" t="s">
        <v>46</v>
      </c>
      <c r="J140" s="9" t="s">
        <v>31</v>
      </c>
      <c r="K140" s="7">
        <v>6.76</v>
      </c>
      <c r="L140" s="7">
        <v>3.7</v>
      </c>
      <c r="M140" s="8">
        <v>0.45300000000000001</v>
      </c>
      <c r="N140" s="10">
        <v>151995</v>
      </c>
      <c r="O140" s="7">
        <v>276.14999999999998</v>
      </c>
      <c r="P140" s="7">
        <f t="array" ref="P140">K140*O140</f>
        <v>1866.7739999999999</v>
      </c>
      <c r="Q140" s="7">
        <f t="array" ref="Q140">L140*O140</f>
        <v>1021.755</v>
      </c>
      <c r="R140" s="7">
        <f t="array" ref="R140">N140*K140</f>
        <v>1027486.2</v>
      </c>
      <c r="S140" s="7">
        <f t="array" ref="S140">N140*K140*O140</f>
        <v>283740314.12999994</v>
      </c>
    </row>
    <row r="141" spans="1:19" ht="14.25" customHeight="1" x14ac:dyDescent="0.3">
      <c r="A141">
        <v>140</v>
      </c>
      <c r="B141" s="12">
        <v>45139</v>
      </c>
      <c r="C141" s="5">
        <v>2023</v>
      </c>
      <c r="D141" s="5" t="s">
        <v>42</v>
      </c>
      <c r="E141" s="5" t="s">
        <v>66</v>
      </c>
      <c r="F141" s="6" t="s">
        <v>69</v>
      </c>
      <c r="G141" s="6" t="s">
        <v>36</v>
      </c>
      <c r="H141" s="9" t="s">
        <v>23</v>
      </c>
      <c r="I141" s="9" t="s">
        <v>32</v>
      </c>
      <c r="J141" s="9" t="s">
        <v>49</v>
      </c>
      <c r="K141" s="7">
        <v>8.9499999999999993</v>
      </c>
      <c r="L141" s="7">
        <v>4.74</v>
      </c>
      <c r="M141" s="8">
        <v>0.47</v>
      </c>
      <c r="N141" s="10">
        <v>136076</v>
      </c>
      <c r="O141" s="7">
        <v>276.14999999999998</v>
      </c>
      <c r="P141" s="7">
        <f t="array" ref="P141">K141*O141</f>
        <v>2471.5424999999996</v>
      </c>
      <c r="Q141" s="7">
        <f t="array" ref="Q141">L141*O141</f>
        <v>1308.951</v>
      </c>
      <c r="R141" s="7">
        <f t="array" ref="R141">N141*K141</f>
        <v>1217880.2</v>
      </c>
      <c r="S141" s="7">
        <f t="array" ref="S141">N141*K141*O141</f>
        <v>336317617.22999996</v>
      </c>
    </row>
    <row r="142" spans="1:19" ht="14.25" customHeight="1" x14ac:dyDescent="0.3">
      <c r="A142">
        <v>141</v>
      </c>
      <c r="B142" s="12">
        <v>45139</v>
      </c>
      <c r="C142" s="5">
        <v>2023</v>
      </c>
      <c r="D142" s="5" t="s">
        <v>18</v>
      </c>
      <c r="E142" s="5" t="s">
        <v>59</v>
      </c>
      <c r="F142" s="6" t="s">
        <v>20</v>
      </c>
      <c r="G142" s="6" t="s">
        <v>36</v>
      </c>
      <c r="H142" s="9" t="s">
        <v>23</v>
      </c>
      <c r="I142" s="9" t="s">
        <v>32</v>
      </c>
      <c r="J142" s="9" t="s">
        <v>31</v>
      </c>
      <c r="K142" s="7">
        <v>18.100000000000001</v>
      </c>
      <c r="L142" s="7">
        <v>10.59</v>
      </c>
      <c r="M142" s="8">
        <v>0.41499999999999998</v>
      </c>
      <c r="N142" s="10">
        <v>270235</v>
      </c>
      <c r="O142" s="7">
        <v>276.14999999999998</v>
      </c>
      <c r="P142" s="7">
        <f t="array" ref="P142">K142*O142</f>
        <v>4998.3149999999996</v>
      </c>
      <c r="Q142" s="7">
        <f t="array" ref="Q142">L142*O142</f>
        <v>2924.4284999999995</v>
      </c>
      <c r="R142" s="7">
        <f t="array" ref="R142">N142*K142</f>
        <v>4891253.5</v>
      </c>
      <c r="S142" s="7">
        <f t="array" ref="S142">N142*K142*O142</f>
        <v>1350719654.0249999</v>
      </c>
    </row>
    <row r="143" spans="1:19" ht="14.25" customHeight="1" x14ac:dyDescent="0.3">
      <c r="A143">
        <v>142</v>
      </c>
      <c r="B143" s="12">
        <v>45139</v>
      </c>
      <c r="C143" s="5">
        <v>2023</v>
      </c>
      <c r="D143" s="5" t="s">
        <v>18</v>
      </c>
      <c r="E143" s="5" t="s">
        <v>19</v>
      </c>
      <c r="F143" s="6" t="s">
        <v>20</v>
      </c>
      <c r="G143" s="6" t="s">
        <v>21</v>
      </c>
      <c r="H143" s="9" t="s">
        <v>23</v>
      </c>
      <c r="I143" s="9" t="s">
        <v>29</v>
      </c>
      <c r="J143" s="9" t="s">
        <v>49</v>
      </c>
      <c r="K143" s="7">
        <v>11.5</v>
      </c>
      <c r="L143" s="7">
        <v>8</v>
      </c>
      <c r="M143" s="8">
        <v>0.30399999999999999</v>
      </c>
      <c r="N143" s="10">
        <v>254268</v>
      </c>
      <c r="O143" s="7">
        <v>276.14999999999998</v>
      </c>
      <c r="P143" s="7">
        <f t="array" ref="P143">K143*O143</f>
        <v>3175.7249999999999</v>
      </c>
      <c r="Q143" s="7">
        <f t="array" ref="Q143">L143*O143</f>
        <v>2209.1999999999998</v>
      </c>
      <c r="R143" s="7">
        <f t="array" ref="R143">N143*K143</f>
        <v>2924082</v>
      </c>
      <c r="S143" s="7">
        <f t="array" ref="S143">N143*K143*O143</f>
        <v>807485244.29999995</v>
      </c>
    </row>
    <row r="144" spans="1:19" ht="14.25" customHeight="1" x14ac:dyDescent="0.3">
      <c r="A144">
        <v>143</v>
      </c>
      <c r="B144" s="12">
        <v>45139</v>
      </c>
      <c r="C144" s="5">
        <v>2023</v>
      </c>
      <c r="D144" s="5" t="s">
        <v>39</v>
      </c>
      <c r="E144" s="5" t="s">
        <v>40</v>
      </c>
      <c r="F144" s="6" t="s">
        <v>48</v>
      </c>
      <c r="G144" s="6" t="s">
        <v>36</v>
      </c>
      <c r="H144" s="9" t="s">
        <v>38</v>
      </c>
      <c r="I144" s="9" t="s">
        <v>29</v>
      </c>
      <c r="J144" s="9" t="s">
        <v>31</v>
      </c>
      <c r="K144" s="7">
        <v>16.8</v>
      </c>
      <c r="L144" s="7">
        <v>13.2</v>
      </c>
      <c r="M144" s="8">
        <v>0.214</v>
      </c>
      <c r="N144" s="10">
        <v>101612</v>
      </c>
      <c r="O144" s="7">
        <v>276.14999999999998</v>
      </c>
      <c r="P144" s="7">
        <f t="array" ref="P144">K144*O144</f>
        <v>4639.32</v>
      </c>
      <c r="Q144" s="7">
        <f t="array" ref="Q144">L144*O144</f>
        <v>3645.1799999999994</v>
      </c>
      <c r="R144" s="7">
        <f t="array" ref="R144">N144*K144</f>
        <v>1707081.6</v>
      </c>
      <c r="S144" s="7">
        <f t="array" ref="S144">N144*K144*O144</f>
        <v>471410583.83999997</v>
      </c>
    </row>
    <row r="145" spans="1:19" ht="14.25" customHeight="1" x14ac:dyDescent="0.3">
      <c r="A145">
        <v>144</v>
      </c>
      <c r="B145" s="12">
        <v>45139</v>
      </c>
      <c r="C145" s="5">
        <v>2023</v>
      </c>
      <c r="D145" s="5" t="s">
        <v>18</v>
      </c>
      <c r="E145" s="5" t="s">
        <v>59</v>
      </c>
      <c r="F145" s="6" t="s">
        <v>55</v>
      </c>
      <c r="G145" s="6" t="s">
        <v>36</v>
      </c>
      <c r="H145" s="9" t="s">
        <v>23</v>
      </c>
      <c r="I145" s="9" t="s">
        <v>46</v>
      </c>
      <c r="J145" s="9" t="s">
        <v>22</v>
      </c>
      <c r="K145" s="7">
        <v>17.72</v>
      </c>
      <c r="L145" s="7">
        <v>10.15</v>
      </c>
      <c r="M145" s="8">
        <v>0.42699999999999999</v>
      </c>
      <c r="N145" s="10">
        <v>118937</v>
      </c>
      <c r="O145" s="7">
        <v>276.14999999999998</v>
      </c>
      <c r="P145" s="7">
        <f t="array" ref="P145">K145*O145</f>
        <v>4893.3779999999997</v>
      </c>
      <c r="Q145" s="7">
        <f t="array" ref="Q145">L145*O145</f>
        <v>2802.9224999999997</v>
      </c>
      <c r="R145" s="7">
        <f t="array" ref="R145">N145*K145</f>
        <v>2107563.6399999997</v>
      </c>
      <c r="S145" s="7">
        <f t="array" ref="S145">N145*K145*O145</f>
        <v>582003699.18599987</v>
      </c>
    </row>
    <row r="146" spans="1:19" ht="14.25" customHeight="1" x14ac:dyDescent="0.3">
      <c r="A146">
        <v>145</v>
      </c>
      <c r="B146" s="12">
        <v>45139</v>
      </c>
      <c r="C146" s="5">
        <v>2023</v>
      </c>
      <c r="D146" s="5" t="s">
        <v>42</v>
      </c>
      <c r="E146" s="5" t="s">
        <v>68</v>
      </c>
      <c r="F146" s="6" t="s">
        <v>44</v>
      </c>
      <c r="G146" s="6" t="s">
        <v>21</v>
      </c>
      <c r="H146" s="9" t="s">
        <v>28</v>
      </c>
      <c r="I146" s="9" t="s">
        <v>24</v>
      </c>
      <c r="J146" s="9" t="s">
        <v>22</v>
      </c>
      <c r="K146" s="7">
        <v>13.07</v>
      </c>
      <c r="L146" s="7">
        <v>9.06</v>
      </c>
      <c r="M146" s="8">
        <v>0.307</v>
      </c>
      <c r="N146" s="10">
        <v>136006</v>
      </c>
      <c r="O146" s="7">
        <v>276.14999999999998</v>
      </c>
      <c r="P146" s="7">
        <f t="array" ref="P146">K146*O146</f>
        <v>3609.2804999999998</v>
      </c>
      <c r="Q146" s="7">
        <f t="array" ref="Q146">L146*O146</f>
        <v>2501.9189999999999</v>
      </c>
      <c r="R146" s="7">
        <f t="array" ref="R146">N146*K146</f>
        <v>1777598.42</v>
      </c>
      <c r="S146" s="7">
        <f t="array" ref="S146">N146*K146*O146</f>
        <v>490883803.68299997</v>
      </c>
    </row>
    <row r="147" spans="1:19" ht="14.25" customHeight="1" x14ac:dyDescent="0.3">
      <c r="A147">
        <v>146</v>
      </c>
      <c r="B147" s="12">
        <v>45170</v>
      </c>
      <c r="C147" s="5">
        <v>2023</v>
      </c>
      <c r="D147" s="5" t="s">
        <v>39</v>
      </c>
      <c r="E147" s="5" t="s">
        <v>40</v>
      </c>
      <c r="F147" s="6" t="s">
        <v>48</v>
      </c>
      <c r="G147" s="6" t="s">
        <v>21</v>
      </c>
      <c r="H147" s="9" t="s">
        <v>23</v>
      </c>
      <c r="I147" s="9" t="s">
        <v>29</v>
      </c>
      <c r="J147" s="9" t="s">
        <v>49</v>
      </c>
      <c r="K147" s="7">
        <v>7.9</v>
      </c>
      <c r="L147" s="7">
        <v>4.6500000000000004</v>
      </c>
      <c r="M147" s="8">
        <v>0.41099999999999998</v>
      </c>
      <c r="N147" s="10">
        <v>68378</v>
      </c>
      <c r="O147" s="7">
        <v>350.1</v>
      </c>
      <c r="P147" s="7">
        <f t="array" ref="P147">K147*O147</f>
        <v>2765.7900000000004</v>
      </c>
      <c r="Q147" s="7">
        <f t="array" ref="Q147">L147*O147</f>
        <v>1627.9650000000001</v>
      </c>
      <c r="R147" s="7">
        <f t="array" ref="R147">N147*K147</f>
        <v>540186.20000000007</v>
      </c>
      <c r="S147" s="7">
        <f t="array" ref="S147">N147*K147*O147</f>
        <v>189119188.62000003</v>
      </c>
    </row>
    <row r="148" spans="1:19" ht="14.25" customHeight="1" x14ac:dyDescent="0.3">
      <c r="A148">
        <v>147</v>
      </c>
      <c r="B148" s="12">
        <v>45170</v>
      </c>
      <c r="C148" s="5">
        <v>2023</v>
      </c>
      <c r="D148" s="5" t="s">
        <v>50</v>
      </c>
      <c r="E148" s="5" t="s">
        <v>60</v>
      </c>
      <c r="F148" s="6" t="s">
        <v>62</v>
      </c>
      <c r="G148" s="6" t="s">
        <v>21</v>
      </c>
      <c r="H148" s="9" t="s">
        <v>23</v>
      </c>
      <c r="I148" s="9" t="s">
        <v>29</v>
      </c>
      <c r="J148" s="9" t="s">
        <v>31</v>
      </c>
      <c r="K148" s="7">
        <v>11.93</v>
      </c>
      <c r="L148" s="7">
        <v>9.41</v>
      </c>
      <c r="M148" s="8">
        <v>0.21099999999999999</v>
      </c>
      <c r="N148" s="10">
        <v>259747</v>
      </c>
      <c r="O148" s="7">
        <v>350.1</v>
      </c>
      <c r="P148" s="7">
        <f t="array" ref="P148">K148*O148</f>
        <v>4176.6930000000002</v>
      </c>
      <c r="Q148" s="7">
        <f t="array" ref="Q148">L148*O148</f>
        <v>3294.4410000000003</v>
      </c>
      <c r="R148" s="7">
        <f t="array" ref="R148">N148*K148</f>
        <v>3098781.71</v>
      </c>
      <c r="S148" s="7">
        <f t="array" ref="S148">N148*K148*O148</f>
        <v>1084883476.671</v>
      </c>
    </row>
    <row r="149" spans="1:19" ht="14.25" customHeight="1" x14ac:dyDescent="0.3">
      <c r="A149">
        <v>148</v>
      </c>
      <c r="B149" s="12">
        <v>45170</v>
      </c>
      <c r="C149" s="5">
        <v>2023</v>
      </c>
      <c r="D149" s="5" t="s">
        <v>25</v>
      </c>
      <c r="E149" s="5" t="s">
        <v>53</v>
      </c>
      <c r="F149" s="6" t="s">
        <v>27</v>
      </c>
      <c r="G149" s="6" t="s">
        <v>64</v>
      </c>
      <c r="H149" s="9" t="s">
        <v>38</v>
      </c>
      <c r="I149" s="9" t="s">
        <v>29</v>
      </c>
      <c r="J149" s="9" t="s">
        <v>49</v>
      </c>
      <c r="K149" s="7">
        <v>16.66</v>
      </c>
      <c r="L149" s="7">
        <v>8.56</v>
      </c>
      <c r="M149" s="8">
        <v>0.48599999999999999</v>
      </c>
      <c r="N149" s="10">
        <v>95023</v>
      </c>
      <c r="O149" s="7">
        <v>350.1</v>
      </c>
      <c r="P149" s="7">
        <f t="array" ref="P149">K149*O149</f>
        <v>5832.6660000000002</v>
      </c>
      <c r="Q149" s="7">
        <f t="array" ref="Q149">L149*O149</f>
        <v>2996.8560000000002</v>
      </c>
      <c r="R149" s="7">
        <f t="array" ref="R149">N149*K149</f>
        <v>1583083.18</v>
      </c>
      <c r="S149" s="7">
        <f t="array" ref="S149">N149*K149*O149</f>
        <v>554237421.31799996</v>
      </c>
    </row>
    <row r="150" spans="1:19" ht="14.25" customHeight="1" x14ac:dyDescent="0.3">
      <c r="A150">
        <v>149</v>
      </c>
      <c r="B150" s="12">
        <v>45170</v>
      </c>
      <c r="C150" s="5">
        <v>2023</v>
      </c>
      <c r="D150" s="5" t="s">
        <v>18</v>
      </c>
      <c r="E150" s="5" t="s">
        <v>59</v>
      </c>
      <c r="F150" s="6" t="s">
        <v>54</v>
      </c>
      <c r="G150" s="6" t="s">
        <v>36</v>
      </c>
      <c r="H150" s="9" t="s">
        <v>38</v>
      </c>
      <c r="I150" s="9" t="s">
        <v>24</v>
      </c>
      <c r="J150" s="9" t="s">
        <v>22</v>
      </c>
      <c r="K150" s="7">
        <v>12.51</v>
      </c>
      <c r="L150" s="7">
        <v>6.27</v>
      </c>
      <c r="M150" s="8">
        <v>0.499</v>
      </c>
      <c r="N150" s="10">
        <v>230404</v>
      </c>
      <c r="O150" s="7">
        <v>350.1</v>
      </c>
      <c r="P150" s="7">
        <f t="array" ref="P150">K150*O150</f>
        <v>4379.7510000000002</v>
      </c>
      <c r="Q150" s="7">
        <f t="array" ref="Q150">L150*O150</f>
        <v>2195.127</v>
      </c>
      <c r="R150" s="7">
        <f t="array" ref="R150">N150*K150</f>
        <v>2882354.04</v>
      </c>
      <c r="S150" s="7">
        <f t="array" ref="S150">N150*K150*O150</f>
        <v>1009112149.404</v>
      </c>
    </row>
    <row r="151" spans="1:19" ht="14.25" customHeight="1" x14ac:dyDescent="0.3">
      <c r="A151">
        <v>150</v>
      </c>
      <c r="B151" s="12">
        <v>45170</v>
      </c>
      <c r="C151" s="5">
        <v>2023</v>
      </c>
      <c r="D151" s="5" t="s">
        <v>25</v>
      </c>
      <c r="E151" s="5" t="s">
        <v>26</v>
      </c>
      <c r="F151" s="6" t="s">
        <v>27</v>
      </c>
      <c r="G151" s="6" t="s">
        <v>21</v>
      </c>
      <c r="H151" s="9" t="s">
        <v>23</v>
      </c>
      <c r="I151" s="9" t="s">
        <v>29</v>
      </c>
      <c r="J151" s="9" t="s">
        <v>31</v>
      </c>
      <c r="K151" s="7">
        <v>14.43</v>
      </c>
      <c r="L151" s="7">
        <v>9.07</v>
      </c>
      <c r="M151" s="8">
        <v>0.371</v>
      </c>
      <c r="N151" s="10">
        <v>73176</v>
      </c>
      <c r="O151" s="7">
        <v>350.1</v>
      </c>
      <c r="P151" s="7">
        <f t="array" ref="P151">K151*O151</f>
        <v>5051.9430000000002</v>
      </c>
      <c r="Q151" s="7">
        <f t="array" ref="Q151">L151*O151</f>
        <v>3175.4070000000002</v>
      </c>
      <c r="R151" s="7">
        <f t="array" ref="R151">N151*K151</f>
        <v>1055929.68</v>
      </c>
      <c r="S151" s="7">
        <f t="array" ref="S151">N151*K151*O151</f>
        <v>369680980.96799999</v>
      </c>
    </row>
    <row r="152" spans="1:19" ht="14.25" customHeight="1" x14ac:dyDescent="0.3">
      <c r="A152">
        <v>151</v>
      </c>
      <c r="B152" s="12">
        <v>45170</v>
      </c>
      <c r="C152" s="5">
        <v>2023</v>
      </c>
      <c r="D152" s="5" t="s">
        <v>50</v>
      </c>
      <c r="E152" s="5" t="s">
        <v>67</v>
      </c>
      <c r="F152" s="6" t="s">
        <v>56</v>
      </c>
      <c r="G152" s="6" t="s">
        <v>64</v>
      </c>
      <c r="H152" s="9" t="s">
        <v>28</v>
      </c>
      <c r="I152" s="9" t="s">
        <v>32</v>
      </c>
      <c r="J152" s="9" t="s">
        <v>31</v>
      </c>
      <c r="K152" s="7">
        <v>11.65</v>
      </c>
      <c r="L152" s="7">
        <v>6.16</v>
      </c>
      <c r="M152" s="8">
        <v>0.47099999999999997</v>
      </c>
      <c r="N152" s="10">
        <v>159023</v>
      </c>
      <c r="O152" s="7">
        <v>350.1</v>
      </c>
      <c r="P152" s="7">
        <f t="array" ref="P152">K152*O152</f>
        <v>4078.6650000000004</v>
      </c>
      <c r="Q152" s="7">
        <f t="array" ref="Q152">L152*O152</f>
        <v>2156.616</v>
      </c>
      <c r="R152" s="7">
        <f t="array" ref="R152">N152*K152</f>
        <v>1852617.95</v>
      </c>
      <c r="S152" s="7">
        <f t="array" ref="S152">N152*K152*O152</f>
        <v>648601544.29500008</v>
      </c>
    </row>
    <row r="153" spans="1:19" ht="14.25" customHeight="1" x14ac:dyDescent="0.3">
      <c r="A153">
        <v>152</v>
      </c>
      <c r="B153" s="12">
        <v>45170</v>
      </c>
      <c r="C153" s="5">
        <v>2023</v>
      </c>
      <c r="D153" s="5" t="s">
        <v>39</v>
      </c>
      <c r="E153" s="5" t="s">
        <v>58</v>
      </c>
      <c r="F153" s="6" t="s">
        <v>41</v>
      </c>
      <c r="G153" s="6" t="s">
        <v>36</v>
      </c>
      <c r="H153" s="9" t="s">
        <v>23</v>
      </c>
      <c r="I153" s="9" t="s">
        <v>46</v>
      </c>
      <c r="J153" s="9" t="s">
        <v>49</v>
      </c>
      <c r="K153" s="7">
        <v>11.08</v>
      </c>
      <c r="L153" s="7">
        <v>7.7</v>
      </c>
      <c r="M153" s="8">
        <v>0.30499999999999999</v>
      </c>
      <c r="N153" s="10">
        <v>76507</v>
      </c>
      <c r="O153" s="7">
        <v>350.1</v>
      </c>
      <c r="P153" s="7">
        <f t="array" ref="P153">K153*O153</f>
        <v>3879.1080000000002</v>
      </c>
      <c r="Q153" s="7">
        <f t="array" ref="Q153">L153*O153</f>
        <v>2695.7700000000004</v>
      </c>
      <c r="R153" s="7">
        <f t="array" ref="R153">N153*K153</f>
        <v>847697.56</v>
      </c>
      <c r="S153" s="7">
        <f t="array" ref="S153">N153*K153*O153</f>
        <v>296778915.75600004</v>
      </c>
    </row>
    <row r="154" spans="1:19" ht="14.25" customHeight="1" x14ac:dyDescent="0.3">
      <c r="A154">
        <v>153</v>
      </c>
      <c r="B154" s="12">
        <v>45170</v>
      </c>
      <c r="C154" s="5">
        <v>2023</v>
      </c>
      <c r="D154" s="5" t="s">
        <v>33</v>
      </c>
      <c r="E154" s="5" t="s">
        <v>57</v>
      </c>
      <c r="F154" s="6" t="s">
        <v>47</v>
      </c>
      <c r="G154" s="6" t="s">
        <v>36</v>
      </c>
      <c r="H154" s="9" t="s">
        <v>28</v>
      </c>
      <c r="I154" s="9" t="s">
        <v>32</v>
      </c>
      <c r="J154" s="9" t="s">
        <v>49</v>
      </c>
      <c r="K154" s="7">
        <v>6.73</v>
      </c>
      <c r="L154" s="7">
        <v>4.38</v>
      </c>
      <c r="M154" s="8">
        <v>0.34899999999999998</v>
      </c>
      <c r="N154" s="10">
        <v>142363</v>
      </c>
      <c r="O154" s="7">
        <v>350.1</v>
      </c>
      <c r="P154" s="7">
        <f t="array" ref="P154">K154*O154</f>
        <v>2356.1730000000002</v>
      </c>
      <c r="Q154" s="7">
        <f t="array" ref="Q154">L154*O154</f>
        <v>1533.4380000000001</v>
      </c>
      <c r="R154" s="7">
        <f t="array" ref="R154">N154*K154</f>
        <v>958102.99000000011</v>
      </c>
      <c r="S154" s="7">
        <f t="array" ref="S154">N154*K154*O154</f>
        <v>335431856.79900008</v>
      </c>
    </row>
    <row r="155" spans="1:19" ht="14.25" customHeight="1" x14ac:dyDescent="0.3">
      <c r="A155">
        <v>154</v>
      </c>
      <c r="B155" s="12">
        <v>45170</v>
      </c>
      <c r="C155" s="5">
        <v>2023</v>
      </c>
      <c r="D155" s="5" t="s">
        <v>42</v>
      </c>
      <c r="E155" s="5" t="s">
        <v>68</v>
      </c>
      <c r="F155" s="6" t="s">
        <v>45</v>
      </c>
      <c r="G155" s="6" t="s">
        <v>36</v>
      </c>
      <c r="H155" s="9" t="s">
        <v>23</v>
      </c>
      <c r="I155" s="9" t="s">
        <v>32</v>
      </c>
      <c r="J155" s="9" t="s">
        <v>22</v>
      </c>
      <c r="K155" s="7">
        <v>8.15</v>
      </c>
      <c r="L155" s="7">
        <v>5.26</v>
      </c>
      <c r="M155" s="8">
        <v>0.35499999999999998</v>
      </c>
      <c r="N155" s="10">
        <v>279463</v>
      </c>
      <c r="O155" s="7">
        <v>350.1</v>
      </c>
      <c r="P155" s="7">
        <f t="array" ref="P155">K155*O155</f>
        <v>2853.3150000000005</v>
      </c>
      <c r="Q155" s="7">
        <f t="array" ref="Q155">L155*O155</f>
        <v>1841.5260000000001</v>
      </c>
      <c r="R155" s="7">
        <f t="array" ref="R155">N155*K155</f>
        <v>2277623.4500000002</v>
      </c>
      <c r="S155" s="7">
        <f t="array" ref="S155">N155*K155*O155</f>
        <v>797395969.84500015</v>
      </c>
    </row>
    <row r="156" spans="1:19" ht="14.25" customHeight="1" x14ac:dyDescent="0.3">
      <c r="A156">
        <v>155</v>
      </c>
      <c r="B156" s="12">
        <v>45170</v>
      </c>
      <c r="C156" s="5">
        <v>2023</v>
      </c>
      <c r="D156" s="5" t="s">
        <v>50</v>
      </c>
      <c r="E156" s="5" t="s">
        <v>67</v>
      </c>
      <c r="F156" s="6" t="s">
        <v>62</v>
      </c>
      <c r="G156" s="6" t="s">
        <v>64</v>
      </c>
      <c r="H156" s="9" t="s">
        <v>28</v>
      </c>
      <c r="I156" s="9" t="s">
        <v>29</v>
      </c>
      <c r="J156" s="9" t="s">
        <v>49</v>
      </c>
      <c r="K156" s="7">
        <v>13.9</v>
      </c>
      <c r="L156" s="7">
        <v>7.91</v>
      </c>
      <c r="M156" s="8">
        <v>0.43099999999999999</v>
      </c>
      <c r="N156" s="10">
        <v>209700</v>
      </c>
      <c r="O156" s="7">
        <v>350.1</v>
      </c>
      <c r="P156" s="7">
        <f t="array" ref="P156">K156*O156</f>
        <v>4866.3900000000003</v>
      </c>
      <c r="Q156" s="7">
        <f t="array" ref="Q156">L156*O156</f>
        <v>2769.2910000000002</v>
      </c>
      <c r="R156" s="7">
        <f t="array" ref="R156">N156*K156</f>
        <v>2914830</v>
      </c>
      <c r="S156" s="7">
        <f t="array" ref="S156">N156*K156*O156</f>
        <v>1020481983.0000001</v>
      </c>
    </row>
    <row r="157" spans="1:19" ht="14.25" customHeight="1" x14ac:dyDescent="0.3">
      <c r="A157">
        <v>156</v>
      </c>
      <c r="B157" s="12">
        <v>45170</v>
      </c>
      <c r="C157" s="5">
        <v>2023</v>
      </c>
      <c r="D157" s="5" t="s">
        <v>50</v>
      </c>
      <c r="E157" s="5" t="s">
        <v>60</v>
      </c>
      <c r="F157" s="6" t="s">
        <v>62</v>
      </c>
      <c r="G157" s="6" t="s">
        <v>21</v>
      </c>
      <c r="H157" s="9" t="s">
        <v>23</v>
      </c>
      <c r="I157" s="9" t="s">
        <v>24</v>
      </c>
      <c r="J157" s="9" t="s">
        <v>31</v>
      </c>
      <c r="K157" s="7">
        <v>9.98</v>
      </c>
      <c r="L157" s="7">
        <v>5.76</v>
      </c>
      <c r="M157" s="8">
        <v>0.42299999999999999</v>
      </c>
      <c r="N157" s="10">
        <v>254557</v>
      </c>
      <c r="O157" s="7">
        <v>350.1</v>
      </c>
      <c r="P157" s="7">
        <f t="array" ref="P157">K157*O157</f>
        <v>3493.9980000000005</v>
      </c>
      <c r="Q157" s="7">
        <f t="array" ref="Q157">L157*O157</f>
        <v>2016.576</v>
      </c>
      <c r="R157" s="7">
        <f t="array" ref="R157">N157*K157</f>
        <v>2540478.8600000003</v>
      </c>
      <c r="S157" s="7">
        <f t="array" ref="S157">N157*K157*O157</f>
        <v>889421648.88600016</v>
      </c>
    </row>
    <row r="158" spans="1:19" ht="14.25" customHeight="1" x14ac:dyDescent="0.3">
      <c r="A158">
        <v>157</v>
      </c>
      <c r="B158" s="12">
        <v>45170</v>
      </c>
      <c r="C158" s="5">
        <v>2023</v>
      </c>
      <c r="D158" s="5" t="s">
        <v>33</v>
      </c>
      <c r="E158" s="5" t="s">
        <v>57</v>
      </c>
      <c r="F158" s="6" t="s">
        <v>35</v>
      </c>
      <c r="G158" s="6" t="s">
        <v>21</v>
      </c>
      <c r="H158" s="9" t="s">
        <v>23</v>
      </c>
      <c r="I158" s="9" t="s">
        <v>32</v>
      </c>
      <c r="J158" s="9" t="s">
        <v>22</v>
      </c>
      <c r="K158" s="7">
        <v>7.19</v>
      </c>
      <c r="L158" s="7">
        <v>4.22</v>
      </c>
      <c r="M158" s="8">
        <v>0.41299999999999998</v>
      </c>
      <c r="N158" s="10">
        <v>208635</v>
      </c>
      <c r="O158" s="7">
        <v>350.1</v>
      </c>
      <c r="P158" s="7">
        <f t="array" ref="P158">K158*O158</f>
        <v>2517.2190000000005</v>
      </c>
      <c r="Q158" s="7">
        <f t="array" ref="Q158">L158*O158</f>
        <v>1477.422</v>
      </c>
      <c r="R158" s="7">
        <f t="array" ref="R158">N158*K158</f>
        <v>1500085.6500000001</v>
      </c>
      <c r="S158" s="7">
        <f t="array" ref="S158">N158*K158*O158</f>
        <v>525179986.06500006</v>
      </c>
    </row>
    <row r="159" spans="1:19" ht="14.25" customHeight="1" x14ac:dyDescent="0.3">
      <c r="A159">
        <v>158</v>
      </c>
      <c r="B159" s="12">
        <v>45170</v>
      </c>
      <c r="C159" s="5">
        <v>2023</v>
      </c>
      <c r="D159" s="5" t="s">
        <v>33</v>
      </c>
      <c r="E159" s="5" t="s">
        <v>34</v>
      </c>
      <c r="F159" s="6" t="s">
        <v>35</v>
      </c>
      <c r="G159" s="6" t="s">
        <v>36</v>
      </c>
      <c r="H159" s="9" t="s">
        <v>23</v>
      </c>
      <c r="I159" s="9" t="s">
        <v>29</v>
      </c>
      <c r="J159" s="9" t="s">
        <v>31</v>
      </c>
      <c r="K159" s="7">
        <v>17.940000000000001</v>
      </c>
      <c r="L159" s="7">
        <v>13.88</v>
      </c>
      <c r="M159" s="8">
        <v>0.22600000000000001</v>
      </c>
      <c r="N159" s="10">
        <v>65976</v>
      </c>
      <c r="O159" s="7">
        <v>350.1</v>
      </c>
      <c r="P159" s="7">
        <f t="array" ref="P159">K159*O159</f>
        <v>6280.7940000000008</v>
      </c>
      <c r="Q159" s="7">
        <f t="array" ref="Q159">L159*O159</f>
        <v>4859.3880000000008</v>
      </c>
      <c r="R159" s="7">
        <f t="array" ref="R159">N159*K159</f>
        <v>1183609.4400000002</v>
      </c>
      <c r="S159" s="7">
        <f t="array" ref="S159">N159*K159*O159</f>
        <v>414381664.94400007</v>
      </c>
    </row>
    <row r="160" spans="1:19" ht="14.25" customHeight="1" x14ac:dyDescent="0.3">
      <c r="A160">
        <v>159</v>
      </c>
      <c r="B160" s="12">
        <v>45170</v>
      </c>
      <c r="C160" s="5">
        <v>2023</v>
      </c>
      <c r="D160" s="5" t="s">
        <v>50</v>
      </c>
      <c r="E160" s="5" t="s">
        <v>67</v>
      </c>
      <c r="F160" s="6" t="s">
        <v>62</v>
      </c>
      <c r="G160" s="6" t="s">
        <v>64</v>
      </c>
      <c r="H160" s="9" t="s">
        <v>23</v>
      </c>
      <c r="I160" s="9" t="s">
        <v>29</v>
      </c>
      <c r="J160" s="9" t="s">
        <v>49</v>
      </c>
      <c r="K160" s="7">
        <v>8.32</v>
      </c>
      <c r="L160" s="7">
        <v>4.8099999999999996</v>
      </c>
      <c r="M160" s="8">
        <v>0.42199999999999999</v>
      </c>
      <c r="N160" s="10">
        <v>85622</v>
      </c>
      <c r="O160" s="7">
        <v>350.1</v>
      </c>
      <c r="P160" s="7">
        <f t="array" ref="P160">K160*O160</f>
        <v>2912.8320000000003</v>
      </c>
      <c r="Q160" s="7">
        <f t="array" ref="Q160">L160*O160</f>
        <v>1683.981</v>
      </c>
      <c r="R160" s="7">
        <f t="array" ref="R160">N160*K160</f>
        <v>712375.04</v>
      </c>
      <c r="S160" s="7">
        <f t="array" ref="S160">N160*K160*O160</f>
        <v>249402501.50400004</v>
      </c>
    </row>
    <row r="161" spans="1:19" ht="14.25" customHeight="1" x14ac:dyDescent="0.3">
      <c r="A161">
        <v>160</v>
      </c>
      <c r="B161" s="12">
        <v>45170</v>
      </c>
      <c r="C161" s="5">
        <v>2023</v>
      </c>
      <c r="D161" s="5" t="s">
        <v>18</v>
      </c>
      <c r="E161" s="5" t="s">
        <v>19</v>
      </c>
      <c r="F161" s="6" t="s">
        <v>20</v>
      </c>
      <c r="G161" s="6" t="s">
        <v>36</v>
      </c>
      <c r="H161" s="9" t="s">
        <v>23</v>
      </c>
      <c r="I161" s="9" t="s">
        <v>32</v>
      </c>
      <c r="J161" s="9" t="s">
        <v>31</v>
      </c>
      <c r="K161" s="7">
        <v>11.24</v>
      </c>
      <c r="L161" s="7">
        <v>7.99</v>
      </c>
      <c r="M161" s="8">
        <v>0.28899999999999998</v>
      </c>
      <c r="N161" s="10">
        <v>168375</v>
      </c>
      <c r="O161" s="7">
        <v>350.1</v>
      </c>
      <c r="P161" s="7">
        <f t="array" ref="P161">K161*O161</f>
        <v>3935.1240000000003</v>
      </c>
      <c r="Q161" s="7">
        <f t="array" ref="Q161">L161*O161</f>
        <v>2797.2990000000004</v>
      </c>
      <c r="R161" s="7">
        <f t="array" ref="R161">N161*K161</f>
        <v>1892535</v>
      </c>
      <c r="S161" s="7">
        <f t="array" ref="S161">N161*K161*O161</f>
        <v>662576503.5</v>
      </c>
    </row>
    <row r="162" spans="1:19" ht="14.25" customHeight="1" x14ac:dyDescent="0.3">
      <c r="A162">
        <v>161</v>
      </c>
      <c r="B162" s="12">
        <v>45170</v>
      </c>
      <c r="C162" s="5">
        <v>2023</v>
      </c>
      <c r="D162" s="5" t="s">
        <v>39</v>
      </c>
      <c r="E162" s="5" t="s">
        <v>40</v>
      </c>
      <c r="F162" s="6" t="s">
        <v>48</v>
      </c>
      <c r="G162" s="6" t="s">
        <v>21</v>
      </c>
      <c r="H162" s="9" t="s">
        <v>28</v>
      </c>
      <c r="I162" s="9" t="s">
        <v>24</v>
      </c>
      <c r="J162" s="9" t="s">
        <v>31</v>
      </c>
      <c r="K162" s="7">
        <v>5.35</v>
      </c>
      <c r="L162" s="7">
        <v>3.8</v>
      </c>
      <c r="M162" s="8">
        <v>0.28999999999999998</v>
      </c>
      <c r="N162" s="10">
        <v>186680</v>
      </c>
      <c r="O162" s="7">
        <v>350.1</v>
      </c>
      <c r="P162" s="7">
        <f t="array" ref="P162">K162*O162</f>
        <v>1873.0350000000001</v>
      </c>
      <c r="Q162" s="7">
        <f t="array" ref="Q162">L162*O162</f>
        <v>1330.38</v>
      </c>
      <c r="R162" s="7">
        <f t="array" ref="R162">N162*K162</f>
        <v>998737.99999999988</v>
      </c>
      <c r="S162" s="7">
        <f t="array" ref="S162">N162*K162*O162</f>
        <v>349658173.79999995</v>
      </c>
    </row>
    <row r="163" spans="1:19" ht="14.25" customHeight="1" x14ac:dyDescent="0.3">
      <c r="A163">
        <v>162</v>
      </c>
      <c r="B163" s="12">
        <v>45170</v>
      </c>
      <c r="C163" s="5">
        <v>2023</v>
      </c>
      <c r="D163" s="5" t="s">
        <v>18</v>
      </c>
      <c r="E163" s="5" t="s">
        <v>59</v>
      </c>
      <c r="F163" s="6" t="s">
        <v>54</v>
      </c>
      <c r="G163" s="6" t="s">
        <v>36</v>
      </c>
      <c r="H163" s="9" t="s">
        <v>28</v>
      </c>
      <c r="I163" s="9" t="s">
        <v>29</v>
      </c>
      <c r="J163" s="9" t="s">
        <v>31</v>
      </c>
      <c r="K163" s="7">
        <v>12.23</v>
      </c>
      <c r="L163" s="7">
        <v>9.42</v>
      </c>
      <c r="M163" s="8">
        <v>0.23</v>
      </c>
      <c r="N163" s="10">
        <v>255370</v>
      </c>
      <c r="O163" s="7">
        <v>350.1</v>
      </c>
      <c r="P163" s="7">
        <f t="array" ref="P163">K163*O163</f>
        <v>4281.7230000000009</v>
      </c>
      <c r="Q163" s="7">
        <f t="array" ref="Q163">L163*O163</f>
        <v>3297.942</v>
      </c>
      <c r="R163" s="7">
        <f t="array" ref="R163">N163*K163</f>
        <v>3123175.1</v>
      </c>
      <c r="S163" s="7">
        <f t="array" ref="S163">N163*K163*O163</f>
        <v>1093423602.51</v>
      </c>
    </row>
    <row r="164" spans="1:19" ht="14.25" customHeight="1" x14ac:dyDescent="0.3">
      <c r="A164">
        <v>163</v>
      </c>
      <c r="B164" s="12">
        <v>45170</v>
      </c>
      <c r="C164" s="5">
        <v>2023</v>
      </c>
      <c r="D164" s="5" t="s">
        <v>39</v>
      </c>
      <c r="E164" s="5" t="s">
        <v>65</v>
      </c>
      <c r="F164" s="6" t="s">
        <v>48</v>
      </c>
      <c r="G164" s="6" t="s">
        <v>64</v>
      </c>
      <c r="H164" s="9" t="s">
        <v>38</v>
      </c>
      <c r="I164" s="9" t="s">
        <v>32</v>
      </c>
      <c r="J164" s="9" t="s">
        <v>31</v>
      </c>
      <c r="K164" s="7">
        <v>14.15</v>
      </c>
      <c r="L164" s="7">
        <v>10.94</v>
      </c>
      <c r="M164" s="8">
        <v>0.22700000000000001</v>
      </c>
      <c r="N164" s="10">
        <v>268344</v>
      </c>
      <c r="O164" s="7">
        <v>350.1</v>
      </c>
      <c r="P164" s="7">
        <f t="array" ref="P164">K164*O164</f>
        <v>4953.9150000000009</v>
      </c>
      <c r="Q164" s="7">
        <f t="array" ref="Q164">L164*O164</f>
        <v>3830.0940000000001</v>
      </c>
      <c r="R164" s="7">
        <f t="array" ref="R164">N164*K164</f>
        <v>3797067.6</v>
      </c>
      <c r="S164" s="7">
        <f t="array" ref="S164">N164*K164*O164</f>
        <v>1329353366.7600002</v>
      </c>
    </row>
    <row r="165" spans="1:19" ht="14.25" customHeight="1" x14ac:dyDescent="0.3">
      <c r="A165">
        <v>164</v>
      </c>
      <c r="B165" s="12">
        <v>45170</v>
      </c>
      <c r="C165" s="5">
        <v>2023</v>
      </c>
      <c r="D165" s="5" t="s">
        <v>42</v>
      </c>
      <c r="E165" s="5" t="s">
        <v>43</v>
      </c>
      <c r="F165" s="6" t="s">
        <v>45</v>
      </c>
      <c r="G165" s="6" t="s">
        <v>36</v>
      </c>
      <c r="H165" s="9" t="s">
        <v>38</v>
      </c>
      <c r="I165" s="9" t="s">
        <v>32</v>
      </c>
      <c r="J165" s="9" t="s">
        <v>31</v>
      </c>
      <c r="K165" s="7">
        <v>5.68</v>
      </c>
      <c r="L165" s="7">
        <v>3.21</v>
      </c>
      <c r="M165" s="8">
        <v>0.435</v>
      </c>
      <c r="N165" s="10">
        <v>142183</v>
      </c>
      <c r="O165" s="7">
        <v>350.1</v>
      </c>
      <c r="P165" s="7">
        <f t="array" ref="P165">K165*O165</f>
        <v>1988.568</v>
      </c>
      <c r="Q165" s="7">
        <f t="array" ref="Q165">L165*O165</f>
        <v>1123.8210000000001</v>
      </c>
      <c r="R165" s="7">
        <f t="array" ref="R165">N165*K165</f>
        <v>807599.44</v>
      </c>
      <c r="S165" s="7">
        <f t="array" ref="S165">N165*K165*O165</f>
        <v>282740563.94400001</v>
      </c>
    </row>
    <row r="166" spans="1:19" ht="14.25" customHeight="1" x14ac:dyDescent="0.3">
      <c r="A166">
        <v>165</v>
      </c>
      <c r="B166" s="12">
        <v>45170</v>
      </c>
      <c r="C166" s="5">
        <v>2023</v>
      </c>
      <c r="D166" s="5" t="s">
        <v>42</v>
      </c>
      <c r="E166" s="5" t="s">
        <v>66</v>
      </c>
      <c r="F166" s="6" t="s">
        <v>69</v>
      </c>
      <c r="G166" s="6" t="s">
        <v>36</v>
      </c>
      <c r="H166" s="9" t="s">
        <v>23</v>
      </c>
      <c r="I166" s="9" t="s">
        <v>24</v>
      </c>
      <c r="J166" s="9" t="s">
        <v>49</v>
      </c>
      <c r="K166" s="7">
        <v>6.56</v>
      </c>
      <c r="L166" s="7">
        <v>5.21</v>
      </c>
      <c r="M166" s="8">
        <v>0.20599999999999999</v>
      </c>
      <c r="N166" s="10">
        <v>79245</v>
      </c>
      <c r="O166" s="7">
        <v>350.1</v>
      </c>
      <c r="P166" s="7">
        <f t="array" ref="P166">K166*O166</f>
        <v>2296.6559999999999</v>
      </c>
      <c r="Q166" s="7">
        <f t="array" ref="Q166">L166*O166</f>
        <v>1824.0210000000002</v>
      </c>
      <c r="R166" s="7">
        <f t="array" ref="R166">N166*K166</f>
        <v>519847.19999999995</v>
      </c>
      <c r="S166" s="7">
        <f t="array" ref="S166">N166*K166*O166</f>
        <v>181998504.72</v>
      </c>
    </row>
    <row r="167" spans="1:19" ht="14.25" customHeight="1" x14ac:dyDescent="0.3">
      <c r="A167">
        <v>166</v>
      </c>
      <c r="B167" s="12">
        <v>45170</v>
      </c>
      <c r="C167" s="5">
        <v>2023</v>
      </c>
      <c r="D167" s="5" t="s">
        <v>42</v>
      </c>
      <c r="E167" s="5" t="s">
        <v>43</v>
      </c>
      <c r="F167" s="6" t="s">
        <v>69</v>
      </c>
      <c r="G167" s="6" t="s">
        <v>21</v>
      </c>
      <c r="H167" s="9" t="s">
        <v>23</v>
      </c>
      <c r="I167" s="9" t="s">
        <v>29</v>
      </c>
      <c r="J167" s="9" t="s">
        <v>49</v>
      </c>
      <c r="K167" s="7">
        <v>17.57</v>
      </c>
      <c r="L167" s="7">
        <v>13.85</v>
      </c>
      <c r="M167" s="8">
        <v>0.21199999999999999</v>
      </c>
      <c r="N167" s="10">
        <v>161179</v>
      </c>
      <c r="O167" s="7">
        <v>350.1</v>
      </c>
      <c r="P167" s="7">
        <f t="array" ref="P167">K167*O167</f>
        <v>6151.2570000000005</v>
      </c>
      <c r="Q167" s="7">
        <f t="array" ref="Q167">L167*O167</f>
        <v>4848.8850000000002</v>
      </c>
      <c r="R167" s="7">
        <f t="array" ref="R167">N167*K167</f>
        <v>2831915.0300000003</v>
      </c>
      <c r="S167" s="7">
        <f t="array" ref="S167">N167*K167*O167</f>
        <v>991453452.00300014</v>
      </c>
    </row>
    <row r="168" spans="1:19" ht="14.25" customHeight="1" x14ac:dyDescent="0.3">
      <c r="A168">
        <v>167</v>
      </c>
      <c r="B168" s="12">
        <v>45170</v>
      </c>
      <c r="C168" s="5">
        <v>2023</v>
      </c>
      <c r="D168" s="5" t="s">
        <v>33</v>
      </c>
      <c r="E168" s="5" t="s">
        <v>37</v>
      </c>
      <c r="F168" s="6" t="s">
        <v>20</v>
      </c>
      <c r="G168" s="6" t="s">
        <v>36</v>
      </c>
      <c r="H168" s="9" t="s">
        <v>28</v>
      </c>
      <c r="I168" s="9" t="s">
        <v>29</v>
      </c>
      <c r="J168" s="9" t="s">
        <v>31</v>
      </c>
      <c r="K168" s="7">
        <v>13.47</v>
      </c>
      <c r="L168" s="7">
        <v>7.7</v>
      </c>
      <c r="M168" s="8">
        <v>0.42799999999999999</v>
      </c>
      <c r="N168" s="10">
        <v>260136</v>
      </c>
      <c r="O168" s="7">
        <v>350.1</v>
      </c>
      <c r="P168" s="7">
        <f t="array" ref="P168">K168*O168</f>
        <v>4715.8470000000007</v>
      </c>
      <c r="Q168" s="7">
        <f t="array" ref="Q168">L168*O168</f>
        <v>2695.7700000000004</v>
      </c>
      <c r="R168" s="7">
        <f t="array" ref="R168">N168*K168</f>
        <v>3504031.9200000004</v>
      </c>
      <c r="S168" s="7">
        <f t="array" ref="S168">N168*K168*O168</f>
        <v>1226761575.1920002</v>
      </c>
    </row>
    <row r="169" spans="1:19" ht="14.25" customHeight="1" x14ac:dyDescent="0.3">
      <c r="A169">
        <v>168</v>
      </c>
      <c r="B169" s="12">
        <v>45170</v>
      </c>
      <c r="C169" s="5">
        <v>2023</v>
      </c>
      <c r="D169" s="5" t="s">
        <v>18</v>
      </c>
      <c r="E169" s="5" t="s">
        <v>61</v>
      </c>
      <c r="F169" s="6" t="s">
        <v>54</v>
      </c>
      <c r="G169" s="6" t="s">
        <v>21</v>
      </c>
      <c r="H169" s="9" t="s">
        <v>23</v>
      </c>
      <c r="I169" s="9" t="s">
        <v>32</v>
      </c>
      <c r="J169" s="9" t="s">
        <v>31</v>
      </c>
      <c r="K169" s="7">
        <v>11.45</v>
      </c>
      <c r="L169" s="7">
        <v>8.69</v>
      </c>
      <c r="M169" s="8">
        <v>0.24099999999999999</v>
      </c>
      <c r="N169" s="10">
        <v>180258</v>
      </c>
      <c r="O169" s="7">
        <v>350.1</v>
      </c>
      <c r="P169" s="7">
        <f t="array" ref="P169">K169*O169</f>
        <v>4008.645</v>
      </c>
      <c r="Q169" s="7">
        <f t="array" ref="Q169">L169*O169</f>
        <v>3042.3690000000001</v>
      </c>
      <c r="R169" s="7">
        <f t="array" ref="R169">N169*K169</f>
        <v>2063954.0999999999</v>
      </c>
      <c r="S169" s="7">
        <f t="array" ref="S169">N169*K169*O169</f>
        <v>722590330.40999997</v>
      </c>
    </row>
    <row r="170" spans="1:19" ht="14.25" customHeight="1" x14ac:dyDescent="0.3">
      <c r="A170">
        <v>169</v>
      </c>
      <c r="B170" s="12">
        <v>45170</v>
      </c>
      <c r="C170" s="5">
        <v>2023</v>
      </c>
      <c r="D170" s="5" t="s">
        <v>42</v>
      </c>
      <c r="E170" s="5" t="s">
        <v>68</v>
      </c>
      <c r="F170" s="6" t="s">
        <v>44</v>
      </c>
      <c r="G170" s="6" t="s">
        <v>21</v>
      </c>
      <c r="H170" s="9" t="s">
        <v>23</v>
      </c>
      <c r="I170" s="9" t="s">
        <v>24</v>
      </c>
      <c r="J170" s="9" t="s">
        <v>22</v>
      </c>
      <c r="K170" s="7">
        <v>15.75</v>
      </c>
      <c r="L170" s="7">
        <v>12.18</v>
      </c>
      <c r="M170" s="8">
        <v>0.22700000000000001</v>
      </c>
      <c r="N170" s="10">
        <v>117541</v>
      </c>
      <c r="O170" s="7">
        <v>350.1</v>
      </c>
      <c r="P170" s="7">
        <f t="array" ref="P170">K170*O170</f>
        <v>5514.0750000000007</v>
      </c>
      <c r="Q170" s="7">
        <f t="array" ref="Q170">L170*O170</f>
        <v>4264.2179999999998</v>
      </c>
      <c r="R170" s="7">
        <f t="array" ref="R170">N170*K170</f>
        <v>1851270.75</v>
      </c>
      <c r="S170" s="7">
        <f t="array" ref="S170">N170*K170*O170</f>
        <v>648129889.57500005</v>
      </c>
    </row>
    <row r="171" spans="1:19" ht="14.25" customHeight="1" x14ac:dyDescent="0.3">
      <c r="A171">
        <v>170</v>
      </c>
      <c r="B171" s="12">
        <v>45170</v>
      </c>
      <c r="C171" s="5">
        <v>2023</v>
      </c>
      <c r="D171" s="5" t="s">
        <v>39</v>
      </c>
      <c r="E171" s="5" t="s">
        <v>40</v>
      </c>
      <c r="F171" s="6" t="s">
        <v>48</v>
      </c>
      <c r="G171" s="6" t="s">
        <v>36</v>
      </c>
      <c r="H171" s="9" t="s">
        <v>28</v>
      </c>
      <c r="I171" s="9" t="s">
        <v>29</v>
      </c>
      <c r="J171" s="9" t="s">
        <v>31</v>
      </c>
      <c r="K171" s="7">
        <v>17.66</v>
      </c>
      <c r="L171" s="7">
        <v>12.11</v>
      </c>
      <c r="M171" s="8">
        <v>0.314</v>
      </c>
      <c r="N171" s="10">
        <v>261656</v>
      </c>
      <c r="O171" s="7">
        <v>350.1</v>
      </c>
      <c r="P171" s="7">
        <f t="array" ref="P171">K171*O171</f>
        <v>6182.7660000000005</v>
      </c>
      <c r="Q171" s="7">
        <f t="array" ref="Q171">L171*O171</f>
        <v>4239.7110000000002</v>
      </c>
      <c r="R171" s="7">
        <f t="array" ref="R171">N171*K171</f>
        <v>4620844.96</v>
      </c>
      <c r="S171" s="7">
        <f t="array" ref="S171">N171*K171*O171</f>
        <v>1617757820.4960001</v>
      </c>
    </row>
    <row r="172" spans="1:19" ht="14.25" customHeight="1" x14ac:dyDescent="0.3">
      <c r="A172">
        <v>171</v>
      </c>
      <c r="B172" s="12">
        <v>45170</v>
      </c>
      <c r="C172" s="5">
        <v>2023</v>
      </c>
      <c r="D172" s="5" t="s">
        <v>42</v>
      </c>
      <c r="E172" s="5" t="s">
        <v>68</v>
      </c>
      <c r="F172" s="6" t="s">
        <v>44</v>
      </c>
      <c r="G172" s="6" t="s">
        <v>21</v>
      </c>
      <c r="H172" s="9" t="s">
        <v>38</v>
      </c>
      <c r="I172" s="9" t="s">
        <v>32</v>
      </c>
      <c r="J172" s="9" t="s">
        <v>31</v>
      </c>
      <c r="K172" s="7">
        <v>8.74</v>
      </c>
      <c r="L172" s="7">
        <v>5.81</v>
      </c>
      <c r="M172" s="8">
        <v>0.33500000000000002</v>
      </c>
      <c r="N172" s="10">
        <v>168271</v>
      </c>
      <c r="O172" s="7">
        <v>350.1</v>
      </c>
      <c r="P172" s="7">
        <f t="array" ref="P172">K172*O172</f>
        <v>3059.8740000000003</v>
      </c>
      <c r="Q172" s="7">
        <f t="array" ref="Q172">L172*O172</f>
        <v>2034.0809999999999</v>
      </c>
      <c r="R172" s="7">
        <f t="array" ref="R172">N172*K172</f>
        <v>1470688.54</v>
      </c>
      <c r="S172" s="7">
        <f t="array" ref="S172">N172*K172*O172</f>
        <v>514888057.85400003</v>
      </c>
    </row>
    <row r="173" spans="1:19" ht="14.25" customHeight="1" x14ac:dyDescent="0.3">
      <c r="A173">
        <v>172</v>
      </c>
      <c r="B173" s="12">
        <v>45170</v>
      </c>
      <c r="C173" s="5">
        <v>2023</v>
      </c>
      <c r="D173" s="5" t="s">
        <v>18</v>
      </c>
      <c r="E173" s="5" t="s">
        <v>59</v>
      </c>
      <c r="F173" s="6" t="s">
        <v>55</v>
      </c>
      <c r="G173" s="6" t="s">
        <v>21</v>
      </c>
      <c r="H173" s="9" t="s">
        <v>28</v>
      </c>
      <c r="I173" s="9" t="s">
        <v>32</v>
      </c>
      <c r="J173" s="9" t="s">
        <v>31</v>
      </c>
      <c r="K173" s="7">
        <v>9.26</v>
      </c>
      <c r="L173" s="7">
        <v>6.29</v>
      </c>
      <c r="M173" s="8">
        <v>0.32100000000000001</v>
      </c>
      <c r="N173" s="10">
        <v>177996</v>
      </c>
      <c r="O173" s="7">
        <v>350.1</v>
      </c>
      <c r="P173" s="7">
        <f t="array" ref="P173">K173*O173</f>
        <v>3241.9259999999999</v>
      </c>
      <c r="Q173" s="7">
        <f t="array" ref="Q173">L173*O173</f>
        <v>2202.1290000000004</v>
      </c>
      <c r="R173" s="7">
        <f t="array" ref="R173">N173*K173</f>
        <v>1648242.96</v>
      </c>
      <c r="S173" s="7">
        <f t="array" ref="S173">N173*K173*O173</f>
        <v>577049860.296</v>
      </c>
    </row>
    <row r="174" spans="1:19" ht="14.25" customHeight="1" x14ac:dyDescent="0.3">
      <c r="A174">
        <v>173</v>
      </c>
      <c r="B174" s="12">
        <v>45170</v>
      </c>
      <c r="C174" s="5">
        <v>2023</v>
      </c>
      <c r="D174" s="5" t="s">
        <v>42</v>
      </c>
      <c r="E174" s="5" t="s">
        <v>43</v>
      </c>
      <c r="F174" s="6" t="s">
        <v>45</v>
      </c>
      <c r="G174" s="6" t="s">
        <v>21</v>
      </c>
      <c r="H174" s="9" t="s">
        <v>23</v>
      </c>
      <c r="I174" s="9" t="s">
        <v>32</v>
      </c>
      <c r="J174" s="9" t="s">
        <v>31</v>
      </c>
      <c r="K174" s="7">
        <v>12.13</v>
      </c>
      <c r="L174" s="7">
        <v>9.02</v>
      </c>
      <c r="M174" s="8">
        <v>0.25600000000000001</v>
      </c>
      <c r="N174" s="10">
        <v>232394</v>
      </c>
      <c r="O174" s="7">
        <v>350.1</v>
      </c>
      <c r="P174" s="7">
        <f t="array" ref="P174">K174*O174</f>
        <v>4246.7130000000006</v>
      </c>
      <c r="Q174" s="7">
        <f t="array" ref="Q174">L174*O174</f>
        <v>3157.902</v>
      </c>
      <c r="R174" s="7">
        <f t="array" ref="R174">N174*K174</f>
        <v>2818939.22</v>
      </c>
      <c r="S174" s="7">
        <f t="array" ref="S174">N174*K174*O174</f>
        <v>986910620.92200017</v>
      </c>
    </row>
    <row r="175" spans="1:19" ht="14.25" customHeight="1" x14ac:dyDescent="0.3">
      <c r="A175">
        <v>174</v>
      </c>
      <c r="B175" s="12">
        <v>45170</v>
      </c>
      <c r="C175" s="5">
        <v>2023</v>
      </c>
      <c r="D175" s="5" t="s">
        <v>42</v>
      </c>
      <c r="E175" s="5" t="s">
        <v>66</v>
      </c>
      <c r="F175" s="6" t="s">
        <v>45</v>
      </c>
      <c r="G175" s="6" t="s">
        <v>36</v>
      </c>
      <c r="H175" s="9" t="s">
        <v>28</v>
      </c>
      <c r="I175" s="9" t="s">
        <v>32</v>
      </c>
      <c r="J175" s="9" t="s">
        <v>31</v>
      </c>
      <c r="K175" s="7">
        <v>12.77</v>
      </c>
      <c r="L175" s="7">
        <v>8.0399999999999991</v>
      </c>
      <c r="M175" s="8">
        <v>0.37</v>
      </c>
      <c r="N175" s="10">
        <v>256090</v>
      </c>
      <c r="O175" s="7">
        <v>350.1</v>
      </c>
      <c r="P175" s="7">
        <f t="array" ref="P175">K175*O175</f>
        <v>4470.777</v>
      </c>
      <c r="Q175" s="7">
        <f t="array" ref="Q175">L175*O175</f>
        <v>2814.8040000000001</v>
      </c>
      <c r="R175" s="7">
        <f t="array" ref="R175">N175*K175</f>
        <v>3270269.3</v>
      </c>
      <c r="S175" s="7">
        <f t="array" ref="S175">N175*K175*O175</f>
        <v>1144921281.9300001</v>
      </c>
    </row>
    <row r="176" spans="1:19" ht="14.25" customHeight="1" x14ac:dyDescent="0.3">
      <c r="A176">
        <v>175</v>
      </c>
      <c r="B176" s="12">
        <v>45170</v>
      </c>
      <c r="C176" s="5">
        <v>2023</v>
      </c>
      <c r="D176" s="5" t="s">
        <v>25</v>
      </c>
      <c r="E176" s="5" t="s">
        <v>53</v>
      </c>
      <c r="F176" s="6" t="s">
        <v>63</v>
      </c>
      <c r="G176" s="6" t="s">
        <v>64</v>
      </c>
      <c r="H176" s="9" t="s">
        <v>23</v>
      </c>
      <c r="I176" s="9" t="s">
        <v>46</v>
      </c>
      <c r="J176" s="9" t="s">
        <v>22</v>
      </c>
      <c r="K176" s="7">
        <v>5.43</v>
      </c>
      <c r="L176" s="7">
        <v>3.89</v>
      </c>
      <c r="M176" s="8">
        <v>0.28399999999999997</v>
      </c>
      <c r="N176" s="10">
        <v>298939</v>
      </c>
      <c r="O176" s="7">
        <v>350.1</v>
      </c>
      <c r="P176" s="7">
        <f t="array" ref="P176">K176*O176</f>
        <v>1901.0430000000001</v>
      </c>
      <c r="Q176" s="7">
        <f t="array" ref="Q176">L176*O176</f>
        <v>1361.8890000000001</v>
      </c>
      <c r="R176" s="7">
        <f t="array" ref="R176">N176*K176</f>
        <v>1623238.77</v>
      </c>
      <c r="S176" s="7">
        <f t="array" ref="S176">N176*K176*O176</f>
        <v>568295893.37700009</v>
      </c>
    </row>
    <row r="177" spans="1:19" ht="14.25" customHeight="1" x14ac:dyDescent="0.3">
      <c r="A177">
        <v>176</v>
      </c>
      <c r="B177" s="12">
        <v>45170</v>
      </c>
      <c r="C177" s="5">
        <v>2023</v>
      </c>
      <c r="D177" s="5" t="s">
        <v>25</v>
      </c>
      <c r="E177" s="5" t="s">
        <v>70</v>
      </c>
      <c r="F177" s="6" t="s">
        <v>63</v>
      </c>
      <c r="G177" s="6" t="s">
        <v>36</v>
      </c>
      <c r="H177" s="9" t="s">
        <v>23</v>
      </c>
      <c r="I177" s="9" t="s">
        <v>32</v>
      </c>
      <c r="J177" s="9" t="s">
        <v>49</v>
      </c>
      <c r="K177" s="7">
        <v>10.91</v>
      </c>
      <c r="L177" s="7">
        <v>6.56</v>
      </c>
      <c r="M177" s="8">
        <v>0.39900000000000002</v>
      </c>
      <c r="N177" s="10">
        <v>73706</v>
      </c>
      <c r="O177" s="7">
        <v>350.1</v>
      </c>
      <c r="P177" s="7">
        <f t="array" ref="P177">K177*O177</f>
        <v>3819.5910000000003</v>
      </c>
      <c r="Q177" s="7">
        <f t="array" ref="Q177">L177*O177</f>
        <v>2296.6559999999999</v>
      </c>
      <c r="R177" s="7">
        <f t="array" ref="R177">N177*K177</f>
        <v>804132.46</v>
      </c>
      <c r="S177" s="7">
        <f t="array" ref="S177">N177*K177*O177</f>
        <v>281526774.24599999</v>
      </c>
    </row>
    <row r="178" spans="1:19" ht="14.25" customHeight="1" x14ac:dyDescent="0.3">
      <c r="A178">
        <v>177</v>
      </c>
      <c r="B178" s="12">
        <v>45170</v>
      </c>
      <c r="C178" s="5">
        <v>2023</v>
      </c>
      <c r="D178" s="5" t="s">
        <v>25</v>
      </c>
      <c r="E178" s="5" t="s">
        <v>53</v>
      </c>
      <c r="F178" s="6" t="s">
        <v>30</v>
      </c>
      <c r="G178" s="6" t="s">
        <v>21</v>
      </c>
      <c r="H178" s="9" t="s">
        <v>38</v>
      </c>
      <c r="I178" s="9" t="s">
        <v>29</v>
      </c>
      <c r="J178" s="9" t="s">
        <v>22</v>
      </c>
      <c r="K178" s="7">
        <v>6.86</v>
      </c>
      <c r="L178" s="7">
        <v>4.47</v>
      </c>
      <c r="M178" s="8">
        <v>0.34799999999999998</v>
      </c>
      <c r="N178" s="10">
        <v>275506</v>
      </c>
      <c r="O178" s="7">
        <v>350.1</v>
      </c>
      <c r="P178" s="7">
        <f t="array" ref="P178">K178*O178</f>
        <v>2401.6860000000001</v>
      </c>
      <c r="Q178" s="7">
        <f t="array" ref="Q178">L178*O178</f>
        <v>1564.9470000000001</v>
      </c>
      <c r="R178" s="7">
        <f t="array" ref="R178">N178*K178</f>
        <v>1889971.1600000001</v>
      </c>
      <c r="S178" s="7">
        <f t="array" ref="S178">N178*K178*O178</f>
        <v>661678903.11600006</v>
      </c>
    </row>
    <row r="179" spans="1:19" ht="14.25" customHeight="1" x14ac:dyDescent="0.3">
      <c r="A179">
        <v>178</v>
      </c>
      <c r="B179" s="12">
        <v>45170</v>
      </c>
      <c r="C179" s="5">
        <v>2023</v>
      </c>
      <c r="D179" s="5" t="s">
        <v>39</v>
      </c>
      <c r="E179" s="5" t="s">
        <v>65</v>
      </c>
      <c r="F179" s="6" t="s">
        <v>41</v>
      </c>
      <c r="G179" s="6" t="s">
        <v>21</v>
      </c>
      <c r="H179" s="9" t="s">
        <v>38</v>
      </c>
      <c r="I179" s="9" t="s">
        <v>32</v>
      </c>
      <c r="J179" s="9" t="s">
        <v>22</v>
      </c>
      <c r="K179" s="7">
        <v>19.579999999999998</v>
      </c>
      <c r="L179" s="7">
        <v>14.29</v>
      </c>
      <c r="M179" s="8">
        <v>0.27</v>
      </c>
      <c r="N179" s="10">
        <v>185423</v>
      </c>
      <c r="O179" s="7">
        <v>350.1</v>
      </c>
      <c r="P179" s="7">
        <f t="array" ref="P179">K179*O179</f>
        <v>6854.9579999999996</v>
      </c>
      <c r="Q179" s="7">
        <f t="array" ref="Q179">L179*O179</f>
        <v>5002.9290000000001</v>
      </c>
      <c r="R179" s="7">
        <f t="array" ref="R179">N179*K179</f>
        <v>3630582.34</v>
      </c>
      <c r="S179" s="7">
        <f t="array" ref="S179">N179*K179*O179</f>
        <v>1271066877.234</v>
      </c>
    </row>
    <row r="180" spans="1:19" ht="14.25" customHeight="1" x14ac:dyDescent="0.3">
      <c r="A180">
        <v>179</v>
      </c>
      <c r="B180" s="12">
        <v>45170</v>
      </c>
      <c r="C180" s="5">
        <v>2023</v>
      </c>
      <c r="D180" s="5" t="s">
        <v>42</v>
      </c>
      <c r="E180" s="5" t="s">
        <v>43</v>
      </c>
      <c r="F180" s="6" t="s">
        <v>45</v>
      </c>
      <c r="G180" s="6" t="s">
        <v>21</v>
      </c>
      <c r="H180" s="9" t="s">
        <v>38</v>
      </c>
      <c r="I180" s="9" t="s">
        <v>32</v>
      </c>
      <c r="J180" s="9" t="s">
        <v>31</v>
      </c>
      <c r="K180" s="7">
        <v>14.99</v>
      </c>
      <c r="L180" s="7">
        <v>9.49</v>
      </c>
      <c r="M180" s="8">
        <v>0.36699999999999999</v>
      </c>
      <c r="N180" s="10">
        <v>287074</v>
      </c>
      <c r="O180" s="7">
        <v>350.1</v>
      </c>
      <c r="P180" s="7">
        <f t="array" ref="P180">K180*O180</f>
        <v>5247.9990000000007</v>
      </c>
      <c r="Q180" s="7">
        <f t="array" ref="Q180">L180*O180</f>
        <v>3322.4490000000001</v>
      </c>
      <c r="R180" s="7">
        <f t="array" ref="R180">N180*K180</f>
        <v>4303239.26</v>
      </c>
      <c r="S180" s="7">
        <f t="array" ref="S180">N180*K180*O180</f>
        <v>1506564064.9260001</v>
      </c>
    </row>
    <row r="181" spans="1:19" ht="14.25" customHeight="1" x14ac:dyDescent="0.3">
      <c r="A181">
        <v>180</v>
      </c>
      <c r="B181" s="12">
        <v>45200</v>
      </c>
      <c r="C181" s="5">
        <v>2023</v>
      </c>
      <c r="D181" s="5" t="s">
        <v>42</v>
      </c>
      <c r="E181" s="5" t="s">
        <v>66</v>
      </c>
      <c r="F181" s="6" t="s">
        <v>45</v>
      </c>
      <c r="G181" s="6" t="s">
        <v>21</v>
      </c>
      <c r="H181" s="9" t="s">
        <v>23</v>
      </c>
      <c r="I181" s="9" t="s">
        <v>32</v>
      </c>
      <c r="J181" s="9" t="s">
        <v>22</v>
      </c>
      <c r="K181" s="7">
        <v>13.09</v>
      </c>
      <c r="L181" s="7">
        <v>6.86</v>
      </c>
      <c r="M181" s="8">
        <v>0.47599999999999998</v>
      </c>
      <c r="N181" s="10">
        <v>200577</v>
      </c>
      <c r="O181" s="7">
        <v>349</v>
      </c>
      <c r="P181" s="7">
        <f t="array" ref="P181">K181*O181</f>
        <v>4568.41</v>
      </c>
      <c r="Q181" s="7">
        <f t="array" ref="Q181">L181*O181</f>
        <v>2394.1400000000003</v>
      </c>
      <c r="R181" s="7">
        <f t="array" ref="R181">N181*K181</f>
        <v>2625552.9300000002</v>
      </c>
      <c r="S181" s="7">
        <f t="array" ref="S181">N181*K181*O181</f>
        <v>916317972.57000005</v>
      </c>
    </row>
    <row r="182" spans="1:19" ht="14.25" customHeight="1" x14ac:dyDescent="0.3">
      <c r="A182">
        <v>181</v>
      </c>
      <c r="B182" s="12">
        <v>45200</v>
      </c>
      <c r="C182" s="5">
        <v>2023</v>
      </c>
      <c r="D182" s="5" t="s">
        <v>39</v>
      </c>
      <c r="E182" s="5" t="s">
        <v>58</v>
      </c>
      <c r="F182" s="6" t="s">
        <v>41</v>
      </c>
      <c r="G182" s="6" t="s">
        <v>36</v>
      </c>
      <c r="H182" s="9" t="s">
        <v>28</v>
      </c>
      <c r="I182" s="9" t="s">
        <v>46</v>
      </c>
      <c r="J182" s="9" t="s">
        <v>22</v>
      </c>
      <c r="K182" s="7">
        <v>5.1100000000000003</v>
      </c>
      <c r="L182" s="7">
        <v>2.65</v>
      </c>
      <c r="M182" s="8">
        <v>0.48099999999999998</v>
      </c>
      <c r="N182" s="10">
        <v>154344</v>
      </c>
      <c r="O182" s="7">
        <v>349</v>
      </c>
      <c r="P182" s="7">
        <f t="array" ref="P182">K182*O182</f>
        <v>1783.39</v>
      </c>
      <c r="Q182" s="7">
        <f t="array" ref="Q182">L182*O182</f>
        <v>924.85</v>
      </c>
      <c r="R182" s="7">
        <f t="array" ref="R182">N182*K182</f>
        <v>788697.84000000008</v>
      </c>
      <c r="S182" s="7">
        <f t="array" ref="S182">N182*K182*O182</f>
        <v>275255546.16000003</v>
      </c>
    </row>
    <row r="183" spans="1:19" ht="14.25" customHeight="1" x14ac:dyDescent="0.3">
      <c r="A183">
        <v>182</v>
      </c>
      <c r="B183" s="12">
        <v>45200</v>
      </c>
      <c r="C183" s="5">
        <v>2023</v>
      </c>
      <c r="D183" s="5" t="s">
        <v>33</v>
      </c>
      <c r="E183" s="5" t="s">
        <v>57</v>
      </c>
      <c r="F183" s="6" t="s">
        <v>35</v>
      </c>
      <c r="G183" s="6" t="s">
        <v>36</v>
      </c>
      <c r="H183" s="9" t="s">
        <v>28</v>
      </c>
      <c r="I183" s="9" t="s">
        <v>29</v>
      </c>
      <c r="J183" s="9" t="s">
        <v>31</v>
      </c>
      <c r="K183" s="7">
        <v>19.11</v>
      </c>
      <c r="L183" s="7">
        <v>12.12</v>
      </c>
      <c r="M183" s="8">
        <v>0.36599999999999999</v>
      </c>
      <c r="N183" s="10">
        <v>81288</v>
      </c>
      <c r="O183" s="7">
        <v>349</v>
      </c>
      <c r="P183" s="7">
        <f t="array" ref="P183">K183*O183</f>
        <v>6669.3899999999994</v>
      </c>
      <c r="Q183" s="7">
        <f t="array" ref="Q183">L183*O183</f>
        <v>4229.88</v>
      </c>
      <c r="R183" s="7">
        <f t="array" ref="R183">N183*K183</f>
        <v>1553413.68</v>
      </c>
      <c r="S183" s="7">
        <f t="array" ref="S183">N183*K183*O183</f>
        <v>542141374.31999993</v>
      </c>
    </row>
    <row r="184" spans="1:19" ht="14.25" customHeight="1" x14ac:dyDescent="0.3">
      <c r="A184">
        <v>183</v>
      </c>
      <c r="B184" s="12">
        <v>45200</v>
      </c>
      <c r="C184" s="5">
        <v>2023</v>
      </c>
      <c r="D184" s="5" t="s">
        <v>39</v>
      </c>
      <c r="E184" s="5" t="s">
        <v>58</v>
      </c>
      <c r="F184" s="6" t="s">
        <v>48</v>
      </c>
      <c r="G184" s="6" t="s">
        <v>21</v>
      </c>
      <c r="H184" s="9" t="s">
        <v>23</v>
      </c>
      <c r="I184" s="9" t="s">
        <v>29</v>
      </c>
      <c r="J184" s="9" t="s">
        <v>31</v>
      </c>
      <c r="K184" s="7">
        <v>16.13</v>
      </c>
      <c r="L184" s="7">
        <v>12.36</v>
      </c>
      <c r="M184" s="8">
        <v>0.23400000000000001</v>
      </c>
      <c r="N184" s="10">
        <v>243744</v>
      </c>
      <c r="O184" s="7">
        <v>349</v>
      </c>
      <c r="P184" s="7">
        <f t="array" ref="P184">K184*O184</f>
        <v>5629.37</v>
      </c>
      <c r="Q184" s="7">
        <f t="array" ref="Q184">L184*O184</f>
        <v>4313.6399999999994</v>
      </c>
      <c r="R184" s="7">
        <f t="array" ref="R184">N184*K184</f>
        <v>3931590.7199999997</v>
      </c>
      <c r="S184" s="7">
        <f t="array" ref="S184">N184*K184*O184</f>
        <v>1372125161.28</v>
      </c>
    </row>
    <row r="185" spans="1:19" ht="14.25" customHeight="1" x14ac:dyDescent="0.3">
      <c r="A185">
        <v>184</v>
      </c>
      <c r="B185" s="12">
        <v>45200</v>
      </c>
      <c r="C185" s="5">
        <v>2023</v>
      </c>
      <c r="D185" s="5" t="s">
        <v>18</v>
      </c>
      <c r="E185" s="5" t="s">
        <v>61</v>
      </c>
      <c r="F185" s="6" t="s">
        <v>20</v>
      </c>
      <c r="G185" s="6" t="s">
        <v>64</v>
      </c>
      <c r="H185" s="9" t="s">
        <v>28</v>
      </c>
      <c r="I185" s="9" t="s">
        <v>24</v>
      </c>
      <c r="J185" s="9" t="s">
        <v>22</v>
      </c>
      <c r="K185" s="7">
        <v>8.94</v>
      </c>
      <c r="L185" s="7">
        <v>6.49</v>
      </c>
      <c r="M185" s="8">
        <v>0.27400000000000002</v>
      </c>
      <c r="N185" s="10">
        <v>100846</v>
      </c>
      <c r="O185" s="7">
        <v>349</v>
      </c>
      <c r="P185" s="7">
        <f t="array" ref="P185">K185*O185</f>
        <v>3120.06</v>
      </c>
      <c r="Q185" s="7">
        <f t="array" ref="Q185">L185*O185</f>
        <v>2265.0100000000002</v>
      </c>
      <c r="R185" s="7">
        <f t="array" ref="R185">N185*K185</f>
        <v>901563.24</v>
      </c>
      <c r="S185" s="7">
        <f t="array" ref="S185">N185*K185*O185</f>
        <v>314645570.75999999</v>
      </c>
    </row>
    <row r="186" spans="1:19" ht="14.25" customHeight="1" x14ac:dyDescent="0.3">
      <c r="A186">
        <v>185</v>
      </c>
      <c r="B186" s="12">
        <v>45200</v>
      </c>
      <c r="C186" s="5">
        <v>2023</v>
      </c>
      <c r="D186" s="5" t="s">
        <v>50</v>
      </c>
      <c r="E186" s="5" t="s">
        <v>51</v>
      </c>
      <c r="F186" s="6" t="s">
        <v>62</v>
      </c>
      <c r="G186" s="6" t="s">
        <v>21</v>
      </c>
      <c r="H186" s="9" t="s">
        <v>38</v>
      </c>
      <c r="I186" s="9" t="s">
        <v>24</v>
      </c>
      <c r="J186" s="9" t="s">
        <v>49</v>
      </c>
      <c r="K186" s="7">
        <v>17.47</v>
      </c>
      <c r="L186" s="7">
        <v>10.17</v>
      </c>
      <c r="M186" s="8">
        <v>0.41799999999999998</v>
      </c>
      <c r="N186" s="10">
        <v>101075</v>
      </c>
      <c r="O186" s="7">
        <v>349</v>
      </c>
      <c r="P186" s="7">
        <f t="array" ref="P186">K186*O186</f>
        <v>6097.03</v>
      </c>
      <c r="Q186" s="7">
        <f t="array" ref="Q186">L186*O186</f>
        <v>3549.33</v>
      </c>
      <c r="R186" s="7">
        <f t="array" ref="R186">N186*K186</f>
        <v>1765780.25</v>
      </c>
      <c r="S186" s="7">
        <f t="array" ref="S186">N186*K186*O186</f>
        <v>616257307.25</v>
      </c>
    </row>
    <row r="187" spans="1:19" ht="14.25" customHeight="1" x14ac:dyDescent="0.3">
      <c r="A187">
        <v>186</v>
      </c>
      <c r="B187" s="12">
        <v>45200</v>
      </c>
      <c r="C187" s="5">
        <v>2023</v>
      </c>
      <c r="D187" s="5" t="s">
        <v>25</v>
      </c>
      <c r="E187" s="5" t="s">
        <v>26</v>
      </c>
      <c r="F187" s="6" t="s">
        <v>63</v>
      </c>
      <c r="G187" s="6" t="s">
        <v>36</v>
      </c>
      <c r="H187" s="9" t="s">
        <v>23</v>
      </c>
      <c r="I187" s="9" t="s">
        <v>32</v>
      </c>
      <c r="J187" s="9" t="s">
        <v>49</v>
      </c>
      <c r="K187" s="7">
        <v>5.56</v>
      </c>
      <c r="L187" s="7">
        <v>4.12</v>
      </c>
      <c r="M187" s="8">
        <v>0.25900000000000001</v>
      </c>
      <c r="N187" s="10">
        <v>224836</v>
      </c>
      <c r="O187" s="7">
        <v>349</v>
      </c>
      <c r="P187" s="7">
        <f t="array" ref="P187">K187*O187</f>
        <v>1940.4399999999998</v>
      </c>
      <c r="Q187" s="7">
        <f t="array" ref="Q187">L187*O187</f>
        <v>1437.88</v>
      </c>
      <c r="R187" s="7">
        <f t="array" ref="R187">N187*K187</f>
        <v>1250088.1599999999</v>
      </c>
      <c r="S187" s="7">
        <f t="array" ref="S187">N187*K187*O187</f>
        <v>436280767.83999997</v>
      </c>
    </row>
    <row r="188" spans="1:19" ht="14.25" customHeight="1" x14ac:dyDescent="0.3">
      <c r="A188">
        <v>187</v>
      </c>
      <c r="B188" s="12">
        <v>45200</v>
      </c>
      <c r="C188" s="5">
        <v>2023</v>
      </c>
      <c r="D188" s="5" t="s">
        <v>50</v>
      </c>
      <c r="E188" s="5" t="s">
        <v>51</v>
      </c>
      <c r="F188" s="6" t="s">
        <v>52</v>
      </c>
      <c r="G188" s="6" t="s">
        <v>36</v>
      </c>
      <c r="H188" s="9" t="s">
        <v>38</v>
      </c>
      <c r="I188" s="9" t="s">
        <v>24</v>
      </c>
      <c r="J188" s="9" t="s">
        <v>49</v>
      </c>
      <c r="K188" s="7">
        <v>17.690000000000001</v>
      </c>
      <c r="L188" s="7">
        <v>10.29</v>
      </c>
      <c r="M188" s="8">
        <v>0.41799999999999998</v>
      </c>
      <c r="N188" s="10">
        <v>267576</v>
      </c>
      <c r="O188" s="7">
        <v>349</v>
      </c>
      <c r="P188" s="7">
        <f t="array" ref="P188">K188*O188</f>
        <v>6173.81</v>
      </c>
      <c r="Q188" s="7">
        <f t="array" ref="Q188">L188*O188</f>
        <v>3591.2099999999996</v>
      </c>
      <c r="R188" s="7">
        <f t="array" ref="R188">N188*K188</f>
        <v>4733419.4400000004</v>
      </c>
      <c r="S188" s="7">
        <f t="array" ref="S188">N188*K188*O188</f>
        <v>1651963384.5600002</v>
      </c>
    </row>
    <row r="189" spans="1:19" ht="14.25" customHeight="1" x14ac:dyDescent="0.3">
      <c r="A189">
        <v>188</v>
      </c>
      <c r="B189" s="12">
        <v>45200</v>
      </c>
      <c r="C189" s="5">
        <v>2023</v>
      </c>
      <c r="D189" s="5" t="s">
        <v>50</v>
      </c>
      <c r="E189" s="5" t="s">
        <v>60</v>
      </c>
      <c r="F189" s="6" t="s">
        <v>56</v>
      </c>
      <c r="G189" s="6" t="s">
        <v>21</v>
      </c>
      <c r="H189" s="9" t="s">
        <v>28</v>
      </c>
      <c r="I189" s="9" t="s">
        <v>32</v>
      </c>
      <c r="J189" s="9" t="s">
        <v>49</v>
      </c>
      <c r="K189" s="7">
        <v>7.04</v>
      </c>
      <c r="L189" s="7">
        <v>4.5599999999999996</v>
      </c>
      <c r="M189" s="8">
        <v>0.35199999999999998</v>
      </c>
      <c r="N189" s="10">
        <v>101073</v>
      </c>
      <c r="O189" s="7">
        <v>349</v>
      </c>
      <c r="P189" s="7">
        <f t="array" ref="P189">K189*O189</f>
        <v>2456.96</v>
      </c>
      <c r="Q189" s="7">
        <f t="array" ref="Q189">L189*O189</f>
        <v>1591.4399999999998</v>
      </c>
      <c r="R189" s="7">
        <f t="array" ref="R189">N189*K189</f>
        <v>711553.92</v>
      </c>
      <c r="S189" s="7">
        <f t="array" ref="S189">N189*K189*O189</f>
        <v>248332318.08000001</v>
      </c>
    </row>
    <row r="190" spans="1:19" ht="14.25" customHeight="1" x14ac:dyDescent="0.3">
      <c r="A190">
        <v>189</v>
      </c>
      <c r="B190" s="12">
        <v>45200</v>
      </c>
      <c r="C190" s="5">
        <v>2023</v>
      </c>
      <c r="D190" s="5" t="s">
        <v>25</v>
      </c>
      <c r="E190" s="5" t="s">
        <v>70</v>
      </c>
      <c r="F190" s="6" t="s">
        <v>30</v>
      </c>
      <c r="G190" s="6" t="s">
        <v>21</v>
      </c>
      <c r="H190" s="9" t="s">
        <v>38</v>
      </c>
      <c r="I190" s="9" t="s">
        <v>46</v>
      </c>
      <c r="J190" s="9" t="s">
        <v>49</v>
      </c>
      <c r="K190" s="7">
        <v>16.86</v>
      </c>
      <c r="L190" s="7">
        <v>13.45</v>
      </c>
      <c r="M190" s="8">
        <v>0.20200000000000001</v>
      </c>
      <c r="N190" s="10">
        <v>62597</v>
      </c>
      <c r="O190" s="7">
        <v>349</v>
      </c>
      <c r="P190" s="7">
        <f t="array" ref="P190">K190*O190</f>
        <v>5884.1399999999994</v>
      </c>
      <c r="Q190" s="7">
        <f t="array" ref="Q190">L190*O190</f>
        <v>4694.05</v>
      </c>
      <c r="R190" s="7">
        <f t="array" ref="R190">N190*K190</f>
        <v>1055385.42</v>
      </c>
      <c r="S190" s="7">
        <f t="array" ref="S190">N190*K190*O190</f>
        <v>368329511.57999998</v>
      </c>
    </row>
    <row r="191" spans="1:19" ht="14.25" customHeight="1" x14ac:dyDescent="0.3">
      <c r="A191">
        <v>190</v>
      </c>
      <c r="B191" s="12">
        <v>45200</v>
      </c>
      <c r="C191" s="5">
        <v>2023</v>
      </c>
      <c r="D191" s="5" t="s">
        <v>25</v>
      </c>
      <c r="E191" s="5" t="s">
        <v>70</v>
      </c>
      <c r="F191" s="6" t="s">
        <v>30</v>
      </c>
      <c r="G191" s="6" t="s">
        <v>21</v>
      </c>
      <c r="H191" s="9" t="s">
        <v>23</v>
      </c>
      <c r="I191" s="9" t="s">
        <v>24</v>
      </c>
      <c r="J191" s="9" t="s">
        <v>49</v>
      </c>
      <c r="K191" s="7">
        <v>18.59</v>
      </c>
      <c r="L191" s="7">
        <v>14.12</v>
      </c>
      <c r="M191" s="8">
        <v>0.24</v>
      </c>
      <c r="N191" s="10">
        <v>292607</v>
      </c>
      <c r="O191" s="7">
        <v>349</v>
      </c>
      <c r="P191" s="7">
        <f t="array" ref="P191">K191*O191</f>
        <v>6487.91</v>
      </c>
      <c r="Q191" s="7">
        <f t="array" ref="Q191">L191*O191</f>
        <v>4927.88</v>
      </c>
      <c r="R191" s="7">
        <f t="array" ref="R191">N191*K191</f>
        <v>5439564.1299999999</v>
      </c>
      <c r="S191" s="7">
        <f t="array" ref="S191">N191*K191*O191</f>
        <v>1898407881.3699999</v>
      </c>
    </row>
    <row r="192" spans="1:19" ht="14.25" customHeight="1" x14ac:dyDescent="0.3">
      <c r="A192">
        <v>191</v>
      </c>
      <c r="B192" s="12">
        <v>45200</v>
      </c>
      <c r="C192" s="5">
        <v>2023</v>
      </c>
      <c r="D192" s="5" t="s">
        <v>18</v>
      </c>
      <c r="E192" s="5" t="s">
        <v>61</v>
      </c>
      <c r="F192" s="6" t="s">
        <v>20</v>
      </c>
      <c r="G192" s="6" t="s">
        <v>36</v>
      </c>
      <c r="H192" s="9" t="s">
        <v>23</v>
      </c>
      <c r="I192" s="9" t="s">
        <v>29</v>
      </c>
      <c r="J192" s="9" t="s">
        <v>31</v>
      </c>
      <c r="K192" s="7">
        <v>9.1300000000000008</v>
      </c>
      <c r="L192" s="7">
        <v>4.6100000000000003</v>
      </c>
      <c r="M192" s="8">
        <v>0.495</v>
      </c>
      <c r="N192" s="10">
        <v>272409</v>
      </c>
      <c r="O192" s="7">
        <v>349</v>
      </c>
      <c r="P192" s="7">
        <f t="array" ref="P192">K192*O192</f>
        <v>3186.3700000000003</v>
      </c>
      <c r="Q192" s="7">
        <f t="array" ref="Q192">L192*O192</f>
        <v>1608.89</v>
      </c>
      <c r="R192" s="7">
        <f t="array" ref="R192">N192*K192</f>
        <v>2487094.1700000004</v>
      </c>
      <c r="S192" s="7">
        <f t="array" ref="S192">N192*K192*O192</f>
        <v>867995865.33000016</v>
      </c>
    </row>
    <row r="193" spans="1:19" ht="14.25" customHeight="1" x14ac:dyDescent="0.3">
      <c r="A193">
        <v>192</v>
      </c>
      <c r="B193" s="12">
        <v>45200</v>
      </c>
      <c r="C193" s="5">
        <v>2023</v>
      </c>
      <c r="D193" s="5" t="s">
        <v>39</v>
      </c>
      <c r="E193" s="5" t="s">
        <v>40</v>
      </c>
      <c r="F193" s="6" t="s">
        <v>20</v>
      </c>
      <c r="G193" s="6" t="s">
        <v>21</v>
      </c>
      <c r="H193" s="9" t="s">
        <v>28</v>
      </c>
      <c r="I193" s="9" t="s">
        <v>29</v>
      </c>
      <c r="J193" s="9" t="s">
        <v>31</v>
      </c>
      <c r="K193" s="7">
        <v>19.77</v>
      </c>
      <c r="L193" s="7">
        <v>12.98</v>
      </c>
      <c r="M193" s="8">
        <v>0.34300000000000003</v>
      </c>
      <c r="N193" s="10">
        <v>199957</v>
      </c>
      <c r="O193" s="7">
        <v>349</v>
      </c>
      <c r="P193" s="7">
        <f t="array" ref="P193">K193*O193</f>
        <v>6899.73</v>
      </c>
      <c r="Q193" s="7">
        <f t="array" ref="Q193">L193*O193</f>
        <v>4530.0200000000004</v>
      </c>
      <c r="R193" s="7">
        <f t="array" ref="R193">N193*K193</f>
        <v>3953149.89</v>
      </c>
      <c r="S193" s="7">
        <f t="array" ref="S193">N193*K193*O193</f>
        <v>1379649311.6100001</v>
      </c>
    </row>
    <row r="194" spans="1:19" ht="14.25" customHeight="1" x14ac:dyDescent="0.3">
      <c r="A194">
        <v>193</v>
      </c>
      <c r="B194" s="12">
        <v>45200</v>
      </c>
      <c r="C194" s="5">
        <v>2023</v>
      </c>
      <c r="D194" s="5" t="s">
        <v>50</v>
      </c>
      <c r="E194" s="5" t="s">
        <v>60</v>
      </c>
      <c r="F194" s="6" t="s">
        <v>52</v>
      </c>
      <c r="G194" s="6" t="s">
        <v>21</v>
      </c>
      <c r="H194" s="9" t="s">
        <v>38</v>
      </c>
      <c r="I194" s="9" t="s">
        <v>29</v>
      </c>
      <c r="J194" s="9" t="s">
        <v>49</v>
      </c>
      <c r="K194" s="7">
        <v>18.72</v>
      </c>
      <c r="L194" s="7">
        <v>14.82</v>
      </c>
      <c r="M194" s="8">
        <v>0.20799999999999999</v>
      </c>
      <c r="N194" s="10">
        <v>161794</v>
      </c>
      <c r="O194" s="7">
        <v>349</v>
      </c>
      <c r="P194" s="7">
        <f t="array" ref="P194">K194*O194</f>
        <v>6533.28</v>
      </c>
      <c r="Q194" s="7">
        <f t="array" ref="Q194">L194*O194</f>
        <v>5172.18</v>
      </c>
      <c r="R194" s="7">
        <f t="array" ref="R194">N194*K194</f>
        <v>3028783.6799999997</v>
      </c>
      <c r="S194" s="7">
        <f t="array" ref="S194">N194*K194*O194</f>
        <v>1057045504.3199999</v>
      </c>
    </row>
    <row r="195" spans="1:19" ht="14.25" customHeight="1" x14ac:dyDescent="0.3">
      <c r="A195">
        <v>194</v>
      </c>
      <c r="B195" s="12">
        <v>45200</v>
      </c>
      <c r="C195" s="5">
        <v>2023</v>
      </c>
      <c r="D195" s="5" t="s">
        <v>33</v>
      </c>
      <c r="E195" s="5" t="s">
        <v>37</v>
      </c>
      <c r="F195" s="6" t="s">
        <v>47</v>
      </c>
      <c r="G195" s="6" t="s">
        <v>36</v>
      </c>
      <c r="H195" s="9" t="s">
        <v>23</v>
      </c>
      <c r="I195" s="9" t="s">
        <v>24</v>
      </c>
      <c r="J195" s="9" t="s">
        <v>49</v>
      </c>
      <c r="K195" s="7">
        <v>11.22</v>
      </c>
      <c r="L195" s="7">
        <v>7.3</v>
      </c>
      <c r="M195" s="8">
        <v>0.34899999999999998</v>
      </c>
      <c r="N195" s="10">
        <v>58908</v>
      </c>
      <c r="O195" s="7">
        <v>349</v>
      </c>
      <c r="P195" s="7">
        <f t="array" ref="P195">K195*O195</f>
        <v>3915.78</v>
      </c>
      <c r="Q195" s="7">
        <f t="array" ref="Q195">L195*O195</f>
        <v>2547.6999999999998</v>
      </c>
      <c r="R195" s="7">
        <f t="array" ref="R195">N195*K195</f>
        <v>660947.76</v>
      </c>
      <c r="S195" s="7">
        <f t="array" ref="S195">N195*K195*O195</f>
        <v>230670768.24000001</v>
      </c>
    </row>
    <row r="196" spans="1:19" ht="14.25" customHeight="1" x14ac:dyDescent="0.3">
      <c r="A196">
        <v>195</v>
      </c>
      <c r="B196" s="12">
        <v>45200</v>
      </c>
      <c r="C196" s="5">
        <v>2023</v>
      </c>
      <c r="D196" s="5" t="s">
        <v>39</v>
      </c>
      <c r="E196" s="5" t="s">
        <v>40</v>
      </c>
      <c r="F196" s="6" t="s">
        <v>41</v>
      </c>
      <c r="G196" s="6" t="s">
        <v>36</v>
      </c>
      <c r="H196" s="9" t="s">
        <v>23</v>
      </c>
      <c r="I196" s="9" t="s">
        <v>32</v>
      </c>
      <c r="J196" s="9" t="s">
        <v>31</v>
      </c>
      <c r="K196" s="7">
        <v>5.76</v>
      </c>
      <c r="L196" s="7">
        <v>3.17</v>
      </c>
      <c r="M196" s="8">
        <v>0.45</v>
      </c>
      <c r="N196" s="10">
        <v>211247</v>
      </c>
      <c r="O196" s="7">
        <v>349</v>
      </c>
      <c r="P196" s="7">
        <f t="array" ref="P196">K196*O196</f>
        <v>2010.24</v>
      </c>
      <c r="Q196" s="7">
        <f t="array" ref="Q196">L196*O196</f>
        <v>1106.33</v>
      </c>
      <c r="R196" s="7">
        <f t="array" ref="R196">N196*K196</f>
        <v>1216782.72</v>
      </c>
      <c r="S196" s="7">
        <f t="array" ref="S196">N196*K196*O196</f>
        <v>424657169.27999997</v>
      </c>
    </row>
    <row r="197" spans="1:19" ht="14.25" customHeight="1" x14ac:dyDescent="0.3">
      <c r="A197">
        <v>196</v>
      </c>
      <c r="B197" s="12">
        <v>45200</v>
      </c>
      <c r="C197" s="5">
        <v>2023</v>
      </c>
      <c r="D197" s="5" t="s">
        <v>50</v>
      </c>
      <c r="E197" s="5" t="s">
        <v>51</v>
      </c>
      <c r="F197" s="6" t="s">
        <v>62</v>
      </c>
      <c r="G197" s="6" t="s">
        <v>64</v>
      </c>
      <c r="H197" s="9" t="s">
        <v>23</v>
      </c>
      <c r="I197" s="9" t="s">
        <v>29</v>
      </c>
      <c r="J197" s="9" t="s">
        <v>31</v>
      </c>
      <c r="K197" s="7">
        <v>11.35</v>
      </c>
      <c r="L197" s="7">
        <v>6.43</v>
      </c>
      <c r="M197" s="8">
        <v>0.433</v>
      </c>
      <c r="N197" s="10">
        <v>189907</v>
      </c>
      <c r="O197" s="7">
        <v>349</v>
      </c>
      <c r="P197" s="7">
        <f t="array" ref="P197">K197*O197</f>
        <v>3961.15</v>
      </c>
      <c r="Q197" s="7">
        <f t="array" ref="Q197">L197*O197</f>
        <v>2244.0699999999997</v>
      </c>
      <c r="R197" s="7">
        <f t="array" ref="R197">N197*K197</f>
        <v>2155444.4499999997</v>
      </c>
      <c r="S197" s="7">
        <f t="array" ref="S197">N197*K197*O197</f>
        <v>752250113.04999995</v>
      </c>
    </row>
    <row r="198" spans="1:19" ht="14.25" customHeight="1" x14ac:dyDescent="0.3">
      <c r="A198">
        <v>197</v>
      </c>
      <c r="B198" s="12">
        <v>45200</v>
      </c>
      <c r="C198" s="5">
        <v>2023</v>
      </c>
      <c r="D198" s="5" t="s">
        <v>33</v>
      </c>
      <c r="E198" s="5" t="s">
        <v>34</v>
      </c>
      <c r="F198" s="6" t="s">
        <v>47</v>
      </c>
      <c r="G198" s="6" t="s">
        <v>21</v>
      </c>
      <c r="H198" s="9" t="s">
        <v>23</v>
      </c>
      <c r="I198" s="9" t="s">
        <v>32</v>
      </c>
      <c r="J198" s="9" t="s">
        <v>49</v>
      </c>
      <c r="K198" s="7">
        <v>14.29</v>
      </c>
      <c r="L198" s="7">
        <v>7.23</v>
      </c>
      <c r="M198" s="8">
        <v>0.49399999999999999</v>
      </c>
      <c r="N198" s="10">
        <v>291011</v>
      </c>
      <c r="O198" s="7">
        <v>349</v>
      </c>
      <c r="P198" s="7">
        <f t="array" ref="P198">K198*O198</f>
        <v>4987.21</v>
      </c>
      <c r="Q198" s="7">
        <f t="array" ref="Q198">L198*O198</f>
        <v>2523.27</v>
      </c>
      <c r="R198" s="7">
        <f t="array" ref="R198">N198*K198</f>
        <v>4158547.19</v>
      </c>
      <c r="S198" s="7">
        <f t="array" ref="S198">N198*K198*O198</f>
        <v>1451332969.3099999</v>
      </c>
    </row>
    <row r="199" spans="1:19" ht="14.25" customHeight="1" x14ac:dyDescent="0.3">
      <c r="A199">
        <v>198</v>
      </c>
      <c r="B199" s="12">
        <v>45200</v>
      </c>
      <c r="C199" s="5">
        <v>2023</v>
      </c>
      <c r="D199" s="5" t="s">
        <v>25</v>
      </c>
      <c r="E199" s="5" t="s">
        <v>70</v>
      </c>
      <c r="F199" s="6" t="s">
        <v>27</v>
      </c>
      <c r="G199" s="6" t="s">
        <v>36</v>
      </c>
      <c r="H199" s="9" t="s">
        <v>38</v>
      </c>
      <c r="I199" s="9" t="s">
        <v>24</v>
      </c>
      <c r="J199" s="9" t="s">
        <v>31</v>
      </c>
      <c r="K199" s="7">
        <v>12.49</v>
      </c>
      <c r="L199" s="7">
        <v>9.82</v>
      </c>
      <c r="M199" s="8">
        <v>0.214</v>
      </c>
      <c r="N199" s="10">
        <v>140973</v>
      </c>
      <c r="O199" s="7">
        <v>349</v>
      </c>
      <c r="P199" s="7">
        <f t="array" ref="P199">K199*O199</f>
        <v>4359.01</v>
      </c>
      <c r="Q199" s="7">
        <f t="array" ref="Q199">L199*O199</f>
        <v>3427.1800000000003</v>
      </c>
      <c r="R199" s="7">
        <f t="array" ref="R199">N199*K199</f>
        <v>1760752.77</v>
      </c>
      <c r="S199" s="7">
        <f t="array" ref="S199">N199*K199*O199</f>
        <v>614502716.73000002</v>
      </c>
    </row>
    <row r="200" spans="1:19" ht="14.25" customHeight="1" x14ac:dyDescent="0.3">
      <c r="A200">
        <v>199</v>
      </c>
      <c r="B200" s="12">
        <v>45200</v>
      </c>
      <c r="C200" s="5">
        <v>2023</v>
      </c>
      <c r="D200" s="5" t="s">
        <v>18</v>
      </c>
      <c r="E200" s="5" t="s">
        <v>59</v>
      </c>
      <c r="F200" s="6" t="s">
        <v>55</v>
      </c>
      <c r="G200" s="6" t="s">
        <v>36</v>
      </c>
      <c r="H200" s="9" t="s">
        <v>28</v>
      </c>
      <c r="I200" s="9" t="s">
        <v>32</v>
      </c>
      <c r="J200" s="9" t="s">
        <v>22</v>
      </c>
      <c r="K200" s="7">
        <v>6.69</v>
      </c>
      <c r="L200" s="7">
        <v>4.5</v>
      </c>
      <c r="M200" s="8">
        <v>0.32700000000000001</v>
      </c>
      <c r="N200" s="10">
        <v>246246</v>
      </c>
      <c r="O200" s="7">
        <v>349</v>
      </c>
      <c r="P200" s="7">
        <f t="array" ref="P200">K200*O200</f>
        <v>2334.81</v>
      </c>
      <c r="Q200" s="7">
        <f t="array" ref="Q200">L200*O200</f>
        <v>1570.5</v>
      </c>
      <c r="R200" s="7">
        <f t="array" ref="R200">N200*K200</f>
        <v>1647385.74</v>
      </c>
      <c r="S200" s="7">
        <f t="array" ref="S200">N200*K200*O200</f>
        <v>574937623.25999999</v>
      </c>
    </row>
    <row r="201" spans="1:19" ht="14.25" customHeight="1" x14ac:dyDescent="0.3">
      <c r="A201">
        <v>200</v>
      </c>
      <c r="B201" s="12">
        <v>45200</v>
      </c>
      <c r="C201" s="5">
        <v>2023</v>
      </c>
      <c r="D201" s="5" t="s">
        <v>33</v>
      </c>
      <c r="E201" s="5" t="s">
        <v>37</v>
      </c>
      <c r="F201" s="6" t="s">
        <v>20</v>
      </c>
      <c r="G201" s="6" t="s">
        <v>21</v>
      </c>
      <c r="H201" s="9" t="s">
        <v>38</v>
      </c>
      <c r="I201" s="9" t="s">
        <v>32</v>
      </c>
      <c r="J201" s="9" t="s">
        <v>31</v>
      </c>
      <c r="K201" s="7">
        <v>8.8800000000000008</v>
      </c>
      <c r="L201" s="7">
        <v>5.75</v>
      </c>
      <c r="M201" s="8">
        <v>0.35199999999999998</v>
      </c>
      <c r="N201" s="10">
        <v>218015</v>
      </c>
      <c r="O201" s="7">
        <v>349</v>
      </c>
      <c r="P201" s="7">
        <f t="array" ref="P201">K201*O201</f>
        <v>3099.1200000000003</v>
      </c>
      <c r="Q201" s="7">
        <f t="array" ref="Q201">L201*O201</f>
        <v>2006.75</v>
      </c>
      <c r="R201" s="7">
        <f t="array" ref="R201">N201*K201</f>
        <v>1935973.2000000002</v>
      </c>
      <c r="S201" s="7">
        <f t="array" ref="S201">N201*K201*O201</f>
        <v>675654646.80000007</v>
      </c>
    </row>
    <row r="202" spans="1:19" ht="14.25" customHeight="1" x14ac:dyDescent="0.3">
      <c r="A202">
        <v>201</v>
      </c>
      <c r="B202" s="12">
        <v>45200</v>
      </c>
      <c r="C202" s="5">
        <v>2023</v>
      </c>
      <c r="D202" s="5" t="s">
        <v>50</v>
      </c>
      <c r="E202" s="5" t="s">
        <v>67</v>
      </c>
      <c r="F202" s="6" t="s">
        <v>62</v>
      </c>
      <c r="G202" s="6" t="s">
        <v>21</v>
      </c>
      <c r="H202" s="9" t="s">
        <v>23</v>
      </c>
      <c r="I202" s="9" t="s">
        <v>32</v>
      </c>
      <c r="J202" s="9" t="s">
        <v>22</v>
      </c>
      <c r="K202" s="7">
        <v>15.08</v>
      </c>
      <c r="L202" s="7">
        <v>11.87</v>
      </c>
      <c r="M202" s="8">
        <v>0.21299999999999999</v>
      </c>
      <c r="N202" s="10">
        <v>59181</v>
      </c>
      <c r="O202" s="7">
        <v>349</v>
      </c>
      <c r="P202" s="7">
        <f t="array" ref="P202">K202*O202</f>
        <v>5262.92</v>
      </c>
      <c r="Q202" s="7">
        <f t="array" ref="Q202">L202*O202</f>
        <v>4142.63</v>
      </c>
      <c r="R202" s="7">
        <f t="array" ref="R202">N202*K202</f>
        <v>892449.48</v>
      </c>
      <c r="S202" s="7">
        <f t="array" ref="S202">N202*K202*O202</f>
        <v>311464868.51999998</v>
      </c>
    </row>
    <row r="203" spans="1:19" ht="14.25" customHeight="1" x14ac:dyDescent="0.3">
      <c r="A203">
        <v>202</v>
      </c>
      <c r="B203" s="12">
        <v>45200</v>
      </c>
      <c r="C203" s="5">
        <v>2023</v>
      </c>
      <c r="D203" s="5" t="s">
        <v>18</v>
      </c>
      <c r="E203" s="5" t="s">
        <v>19</v>
      </c>
      <c r="F203" s="6" t="s">
        <v>20</v>
      </c>
      <c r="G203" s="6" t="s">
        <v>21</v>
      </c>
      <c r="H203" s="9" t="s">
        <v>23</v>
      </c>
      <c r="I203" s="9" t="s">
        <v>32</v>
      </c>
      <c r="J203" s="9" t="s">
        <v>31</v>
      </c>
      <c r="K203" s="7">
        <v>17.579999999999998</v>
      </c>
      <c r="L203" s="7">
        <v>13.39</v>
      </c>
      <c r="M203" s="8">
        <v>0.23799999999999999</v>
      </c>
      <c r="N203" s="10">
        <v>273226</v>
      </c>
      <c r="O203" s="7">
        <v>349</v>
      </c>
      <c r="P203" s="7">
        <f t="array" ref="P203">K203*O203</f>
        <v>6135.4199999999992</v>
      </c>
      <c r="Q203" s="7">
        <f t="array" ref="Q203">L203*O203</f>
        <v>4673.1100000000006</v>
      </c>
      <c r="R203" s="7">
        <f t="array" ref="R203">N203*K203</f>
        <v>4803313.0799999991</v>
      </c>
      <c r="S203" s="7">
        <f t="array" ref="S203">N203*K203*O203</f>
        <v>1676356264.9199996</v>
      </c>
    </row>
    <row r="204" spans="1:19" ht="14.25" customHeight="1" x14ac:dyDescent="0.3">
      <c r="A204">
        <v>203</v>
      </c>
      <c r="B204" s="12">
        <v>45231</v>
      </c>
      <c r="C204" s="5">
        <v>2023</v>
      </c>
      <c r="D204" s="5" t="s">
        <v>42</v>
      </c>
      <c r="E204" s="5" t="s">
        <v>43</v>
      </c>
      <c r="F204" s="6" t="s">
        <v>45</v>
      </c>
      <c r="G204" s="6" t="s">
        <v>21</v>
      </c>
      <c r="H204" s="9" t="s">
        <v>28</v>
      </c>
      <c r="I204" s="9" t="s">
        <v>24</v>
      </c>
      <c r="J204" s="9" t="s">
        <v>49</v>
      </c>
      <c r="K204" s="7">
        <v>19.809999999999999</v>
      </c>
      <c r="L204" s="7">
        <v>11.98</v>
      </c>
      <c r="M204" s="8">
        <v>0.39500000000000002</v>
      </c>
      <c r="N204" s="10">
        <v>271591</v>
      </c>
      <c r="O204" s="7">
        <v>349.95</v>
      </c>
      <c r="P204" s="7">
        <f t="array" ref="P204">K204*O204</f>
        <v>6932.5094999999992</v>
      </c>
      <c r="Q204" s="7">
        <f t="array" ref="Q204">L204*O204</f>
        <v>4192.4009999999998</v>
      </c>
      <c r="R204" s="7">
        <f t="array" ref="R204">N204*K204</f>
        <v>5380217.71</v>
      </c>
      <c r="S204" s="7">
        <f t="array" ref="S204">N204*K204*O204</f>
        <v>1882807187.6144998</v>
      </c>
    </row>
    <row r="205" spans="1:19" ht="14.25" customHeight="1" x14ac:dyDescent="0.3">
      <c r="A205">
        <v>204</v>
      </c>
      <c r="B205" s="12">
        <v>45231</v>
      </c>
      <c r="C205" s="5">
        <v>2023</v>
      </c>
      <c r="D205" s="5" t="s">
        <v>18</v>
      </c>
      <c r="E205" s="5" t="s">
        <v>61</v>
      </c>
      <c r="F205" s="6" t="s">
        <v>55</v>
      </c>
      <c r="G205" s="6" t="s">
        <v>21</v>
      </c>
      <c r="H205" s="9" t="s">
        <v>38</v>
      </c>
      <c r="I205" s="9" t="s">
        <v>24</v>
      </c>
      <c r="J205" s="9" t="s">
        <v>31</v>
      </c>
      <c r="K205" s="7">
        <v>9.2200000000000006</v>
      </c>
      <c r="L205" s="7">
        <v>5.29</v>
      </c>
      <c r="M205" s="8">
        <v>0.42599999999999999</v>
      </c>
      <c r="N205" s="10">
        <v>63805</v>
      </c>
      <c r="O205" s="7">
        <v>349.95</v>
      </c>
      <c r="P205" s="7">
        <f t="array" ref="P205">K205*O205</f>
        <v>3226.5390000000002</v>
      </c>
      <c r="Q205" s="7">
        <f t="array" ref="Q205">L205*O205</f>
        <v>1851.2355</v>
      </c>
      <c r="R205" s="7">
        <f t="array" ref="R205">N205*K205</f>
        <v>588282.10000000009</v>
      </c>
      <c r="S205" s="7">
        <f t="array" ref="S205">N205*K205*O205</f>
        <v>205869320.89500004</v>
      </c>
    </row>
    <row r="206" spans="1:19" ht="14.25" customHeight="1" x14ac:dyDescent="0.3">
      <c r="A206">
        <v>205</v>
      </c>
      <c r="B206" s="12">
        <v>45231</v>
      </c>
      <c r="C206" s="5">
        <v>2023</v>
      </c>
      <c r="D206" s="5" t="s">
        <v>33</v>
      </c>
      <c r="E206" s="5" t="s">
        <v>57</v>
      </c>
      <c r="F206" s="6" t="s">
        <v>47</v>
      </c>
      <c r="G206" s="6" t="s">
        <v>21</v>
      </c>
      <c r="H206" s="9" t="s">
        <v>23</v>
      </c>
      <c r="I206" s="9" t="s">
        <v>32</v>
      </c>
      <c r="J206" s="9" t="s">
        <v>22</v>
      </c>
      <c r="K206" s="7">
        <v>9.17</v>
      </c>
      <c r="L206" s="7">
        <v>6.63</v>
      </c>
      <c r="M206" s="8">
        <v>0.27700000000000002</v>
      </c>
      <c r="N206" s="10">
        <v>131639</v>
      </c>
      <c r="O206" s="7">
        <v>349.95</v>
      </c>
      <c r="P206" s="7">
        <f t="array" ref="P206">K206*O206</f>
        <v>3209.0414999999998</v>
      </c>
      <c r="Q206" s="7">
        <f t="array" ref="Q206">L206*O206</f>
        <v>2320.1684999999998</v>
      </c>
      <c r="R206" s="7">
        <f t="array" ref="R206">N206*K206</f>
        <v>1207129.6299999999</v>
      </c>
      <c r="S206" s="7">
        <f t="array" ref="S206">N206*K206*O206</f>
        <v>422435014.01849997</v>
      </c>
    </row>
    <row r="207" spans="1:19" ht="14.25" customHeight="1" x14ac:dyDescent="0.3">
      <c r="A207">
        <v>206</v>
      </c>
      <c r="B207" s="12">
        <v>45231</v>
      </c>
      <c r="C207" s="5">
        <v>2023</v>
      </c>
      <c r="D207" s="5" t="s">
        <v>42</v>
      </c>
      <c r="E207" s="5" t="s">
        <v>43</v>
      </c>
      <c r="F207" s="6" t="s">
        <v>44</v>
      </c>
      <c r="G207" s="6" t="s">
        <v>21</v>
      </c>
      <c r="H207" s="9" t="s">
        <v>38</v>
      </c>
      <c r="I207" s="9" t="s">
        <v>29</v>
      </c>
      <c r="J207" s="9" t="s">
        <v>49</v>
      </c>
      <c r="K207" s="7">
        <v>9.11</v>
      </c>
      <c r="L207" s="7">
        <v>5.94</v>
      </c>
      <c r="M207" s="8">
        <v>0.34799999999999998</v>
      </c>
      <c r="N207" s="10">
        <v>98661</v>
      </c>
      <c r="O207" s="7">
        <v>349.95</v>
      </c>
      <c r="P207" s="7">
        <f t="array" ref="P207">K207*O207</f>
        <v>3188.0444999999995</v>
      </c>
      <c r="Q207" s="7">
        <f t="array" ref="Q207">L207*O207</f>
        <v>2078.703</v>
      </c>
      <c r="R207" s="7">
        <f t="array" ref="R207">N207*K207</f>
        <v>898801.71</v>
      </c>
      <c r="S207" s="7">
        <f t="array" ref="S207">N207*K207*O207</f>
        <v>314535658.4145</v>
      </c>
    </row>
    <row r="208" spans="1:19" ht="14.25" customHeight="1" x14ac:dyDescent="0.3">
      <c r="A208">
        <v>207</v>
      </c>
      <c r="B208" s="12">
        <v>45231</v>
      </c>
      <c r="C208" s="5">
        <v>2023</v>
      </c>
      <c r="D208" s="5" t="s">
        <v>39</v>
      </c>
      <c r="E208" s="5" t="s">
        <v>58</v>
      </c>
      <c r="F208" s="6" t="s">
        <v>41</v>
      </c>
      <c r="G208" s="6" t="s">
        <v>21</v>
      </c>
      <c r="H208" s="9" t="s">
        <v>23</v>
      </c>
      <c r="I208" s="9" t="s">
        <v>29</v>
      </c>
      <c r="J208" s="9" t="s">
        <v>22</v>
      </c>
      <c r="K208" s="7">
        <v>11.67</v>
      </c>
      <c r="L208" s="7">
        <v>7.03</v>
      </c>
      <c r="M208" s="8">
        <v>0.39800000000000002</v>
      </c>
      <c r="N208" s="10">
        <v>129067</v>
      </c>
      <c r="O208" s="7">
        <v>349.95</v>
      </c>
      <c r="P208" s="7">
        <f t="array" ref="P208">K208*O208</f>
        <v>4083.9164999999998</v>
      </c>
      <c r="Q208" s="7">
        <f t="array" ref="Q208">L208*O208</f>
        <v>2460.1484999999998</v>
      </c>
      <c r="R208" s="7">
        <f t="array" ref="R208">N208*K208</f>
        <v>1506211.89</v>
      </c>
      <c r="S208" s="7">
        <f t="array" ref="S208">N208*K208*O208</f>
        <v>527098850.90549994</v>
      </c>
    </row>
    <row r="209" spans="1:19" ht="14.25" customHeight="1" x14ac:dyDescent="0.3">
      <c r="A209">
        <v>208</v>
      </c>
      <c r="B209" s="12">
        <v>45231</v>
      </c>
      <c r="C209" s="5">
        <v>2023</v>
      </c>
      <c r="D209" s="5" t="s">
        <v>50</v>
      </c>
      <c r="E209" s="5" t="s">
        <v>51</v>
      </c>
      <c r="F209" s="6" t="s">
        <v>62</v>
      </c>
      <c r="G209" s="6" t="s">
        <v>21</v>
      </c>
      <c r="H209" s="9" t="s">
        <v>38</v>
      </c>
      <c r="I209" s="9" t="s">
        <v>46</v>
      </c>
      <c r="J209" s="9" t="s">
        <v>49</v>
      </c>
      <c r="K209" s="7">
        <v>15.02</v>
      </c>
      <c r="L209" s="7">
        <v>9.01</v>
      </c>
      <c r="M209" s="8">
        <v>0.4</v>
      </c>
      <c r="N209" s="10">
        <v>99904</v>
      </c>
      <c r="O209" s="7">
        <v>349.95</v>
      </c>
      <c r="P209" s="7">
        <f t="array" ref="P209">K209*O209</f>
        <v>5256.2489999999998</v>
      </c>
      <c r="Q209" s="7">
        <f t="array" ref="Q209">L209*O209</f>
        <v>3153.0494999999996</v>
      </c>
      <c r="R209" s="7">
        <f t="array" ref="R209">N209*K209</f>
        <v>1500558.0799999998</v>
      </c>
      <c r="S209" s="7">
        <f t="array" ref="S209">N209*K209*O209</f>
        <v>525120300.09599996</v>
      </c>
    </row>
    <row r="210" spans="1:19" ht="14.25" customHeight="1" x14ac:dyDescent="0.3">
      <c r="A210">
        <v>209</v>
      </c>
      <c r="B210" s="12">
        <v>45231</v>
      </c>
      <c r="C210" s="5">
        <v>2023</v>
      </c>
      <c r="D210" s="5" t="s">
        <v>42</v>
      </c>
      <c r="E210" s="5" t="s">
        <v>43</v>
      </c>
      <c r="F210" s="6" t="s">
        <v>69</v>
      </c>
      <c r="G210" s="6" t="s">
        <v>21</v>
      </c>
      <c r="H210" s="9" t="s">
        <v>28</v>
      </c>
      <c r="I210" s="9" t="s">
        <v>24</v>
      </c>
      <c r="J210" s="9" t="s">
        <v>31</v>
      </c>
      <c r="K210" s="7">
        <v>11.31</v>
      </c>
      <c r="L210" s="7">
        <v>6.94</v>
      </c>
      <c r="M210" s="8">
        <v>0.38600000000000001</v>
      </c>
      <c r="N210" s="10">
        <v>240121</v>
      </c>
      <c r="O210" s="7">
        <v>349.95</v>
      </c>
      <c r="P210" s="7">
        <f t="array" ref="P210">K210*O210</f>
        <v>3957.9344999999998</v>
      </c>
      <c r="Q210" s="7">
        <f t="array" ref="Q210">L210*O210</f>
        <v>2428.6530000000002</v>
      </c>
      <c r="R210" s="7">
        <f t="array" ref="R210">N210*K210</f>
        <v>2715768.5100000002</v>
      </c>
      <c r="S210" s="7">
        <f t="array" ref="S210">N210*K210*O210</f>
        <v>950383190.07450008</v>
      </c>
    </row>
    <row r="211" spans="1:19" ht="14.25" customHeight="1" x14ac:dyDescent="0.3">
      <c r="A211">
        <v>210</v>
      </c>
      <c r="B211" s="12">
        <v>45231</v>
      </c>
      <c r="C211" s="5">
        <v>2023</v>
      </c>
      <c r="D211" s="5" t="s">
        <v>42</v>
      </c>
      <c r="E211" s="5" t="s">
        <v>43</v>
      </c>
      <c r="F211" s="6" t="s">
        <v>44</v>
      </c>
      <c r="G211" s="6" t="s">
        <v>36</v>
      </c>
      <c r="H211" s="9" t="s">
        <v>23</v>
      </c>
      <c r="I211" s="9" t="s">
        <v>32</v>
      </c>
      <c r="J211" s="9" t="s">
        <v>22</v>
      </c>
      <c r="K211" s="7">
        <v>5.71</v>
      </c>
      <c r="L211" s="7">
        <v>2.97</v>
      </c>
      <c r="M211" s="8">
        <v>0.48</v>
      </c>
      <c r="N211" s="10">
        <v>295695</v>
      </c>
      <c r="O211" s="7">
        <v>349.95</v>
      </c>
      <c r="P211" s="7">
        <f t="array" ref="P211">K211*O211</f>
        <v>1998.2144999999998</v>
      </c>
      <c r="Q211" s="7">
        <f t="array" ref="Q211">L211*O211</f>
        <v>1039.3515</v>
      </c>
      <c r="R211" s="7">
        <f t="array" ref="R211">N211*K211</f>
        <v>1688418.45</v>
      </c>
      <c r="S211" s="7">
        <f t="array" ref="S211">N211*K211*O211</f>
        <v>590862036.57749999</v>
      </c>
    </row>
    <row r="212" spans="1:19" ht="14.25" customHeight="1" x14ac:dyDescent="0.3">
      <c r="A212">
        <v>211</v>
      </c>
      <c r="B212" s="12">
        <v>45231</v>
      </c>
      <c r="C212" s="5">
        <v>2023</v>
      </c>
      <c r="D212" s="5" t="s">
        <v>33</v>
      </c>
      <c r="E212" s="5" t="s">
        <v>34</v>
      </c>
      <c r="F212" s="6" t="s">
        <v>47</v>
      </c>
      <c r="G212" s="6" t="s">
        <v>21</v>
      </c>
      <c r="H212" s="9" t="s">
        <v>28</v>
      </c>
      <c r="I212" s="9" t="s">
        <v>24</v>
      </c>
      <c r="J212" s="9" t="s">
        <v>22</v>
      </c>
      <c r="K212" s="7">
        <v>19.03</v>
      </c>
      <c r="L212" s="7">
        <v>11.94</v>
      </c>
      <c r="M212" s="8">
        <v>0.373</v>
      </c>
      <c r="N212" s="10">
        <v>285288</v>
      </c>
      <c r="O212" s="7">
        <v>349.95</v>
      </c>
      <c r="P212" s="7">
        <f t="array" ref="P212">K212*O212</f>
        <v>6659.5484999999999</v>
      </c>
      <c r="Q212" s="7">
        <f t="array" ref="Q212">L212*O212</f>
        <v>4178.4029999999993</v>
      </c>
      <c r="R212" s="7">
        <f t="array" ref="R212">N212*K212</f>
        <v>5429030.6400000006</v>
      </c>
      <c r="S212" s="7">
        <f t="array" ref="S212">N212*K212*O212</f>
        <v>1899889272.4680002</v>
      </c>
    </row>
    <row r="213" spans="1:19" ht="14.25" customHeight="1" x14ac:dyDescent="0.3">
      <c r="A213">
        <v>212</v>
      </c>
      <c r="B213" s="12">
        <v>45231</v>
      </c>
      <c r="C213" s="5">
        <v>2023</v>
      </c>
      <c r="D213" s="5" t="s">
        <v>39</v>
      </c>
      <c r="E213" s="5" t="s">
        <v>40</v>
      </c>
      <c r="F213" s="6" t="s">
        <v>20</v>
      </c>
      <c r="G213" s="6" t="s">
        <v>21</v>
      </c>
      <c r="H213" s="9" t="s">
        <v>28</v>
      </c>
      <c r="I213" s="9" t="s">
        <v>29</v>
      </c>
      <c r="J213" s="9" t="s">
        <v>31</v>
      </c>
      <c r="K213" s="7">
        <v>9.68</v>
      </c>
      <c r="L213" s="7">
        <v>6.57</v>
      </c>
      <c r="M213" s="8">
        <v>0.32100000000000001</v>
      </c>
      <c r="N213" s="10">
        <v>223526</v>
      </c>
      <c r="O213" s="7">
        <v>349.95</v>
      </c>
      <c r="P213" s="7">
        <f t="array" ref="P213">K213*O213</f>
        <v>3387.5159999999996</v>
      </c>
      <c r="Q213" s="7">
        <f t="array" ref="Q213">L213*O213</f>
        <v>2299.1714999999999</v>
      </c>
      <c r="R213" s="7">
        <f t="array" ref="R213">N213*K213</f>
        <v>2163731.6800000002</v>
      </c>
      <c r="S213" s="7">
        <f t="array" ref="S213">N213*K213*O213</f>
        <v>757197901.41600001</v>
      </c>
    </row>
    <row r="214" spans="1:19" ht="14.25" customHeight="1" x14ac:dyDescent="0.3">
      <c r="A214">
        <v>213</v>
      </c>
      <c r="B214" s="12">
        <v>45231</v>
      </c>
      <c r="C214" s="5">
        <v>2023</v>
      </c>
      <c r="D214" s="5" t="s">
        <v>25</v>
      </c>
      <c r="E214" s="5" t="s">
        <v>53</v>
      </c>
      <c r="F214" s="6" t="s">
        <v>63</v>
      </c>
      <c r="G214" s="6" t="s">
        <v>36</v>
      </c>
      <c r="H214" s="9" t="s">
        <v>23</v>
      </c>
      <c r="I214" s="9" t="s">
        <v>32</v>
      </c>
      <c r="J214" s="9" t="s">
        <v>31</v>
      </c>
      <c r="K214" s="7">
        <v>11.91</v>
      </c>
      <c r="L214" s="7">
        <v>9.2100000000000009</v>
      </c>
      <c r="M214" s="8">
        <v>0.22700000000000001</v>
      </c>
      <c r="N214" s="10">
        <v>168323</v>
      </c>
      <c r="O214" s="7">
        <v>349.95</v>
      </c>
      <c r="P214" s="7">
        <f t="array" ref="P214">K214*O214</f>
        <v>4167.9044999999996</v>
      </c>
      <c r="Q214" s="7">
        <f t="array" ref="Q214">L214*O214</f>
        <v>3223.0395000000003</v>
      </c>
      <c r="R214" s="7">
        <f t="array" ref="R214">N214*K214</f>
        <v>2004726.93</v>
      </c>
      <c r="S214" s="7">
        <f t="array" ref="S214">N214*K214*O214</f>
        <v>701554189.15349996</v>
      </c>
    </row>
    <row r="215" spans="1:19" ht="14.25" customHeight="1" x14ac:dyDescent="0.3">
      <c r="A215">
        <v>214</v>
      </c>
      <c r="B215" s="12">
        <v>45231</v>
      </c>
      <c r="C215" s="5">
        <v>2023</v>
      </c>
      <c r="D215" s="5" t="s">
        <v>25</v>
      </c>
      <c r="E215" s="5" t="s">
        <v>70</v>
      </c>
      <c r="F215" s="6" t="s">
        <v>27</v>
      </c>
      <c r="G215" s="6" t="s">
        <v>21</v>
      </c>
      <c r="H215" s="9" t="s">
        <v>23</v>
      </c>
      <c r="I215" s="9" t="s">
        <v>29</v>
      </c>
      <c r="J215" s="9" t="s">
        <v>22</v>
      </c>
      <c r="K215" s="7">
        <v>6.12</v>
      </c>
      <c r="L215" s="7">
        <v>4.3499999999999996</v>
      </c>
      <c r="M215" s="8">
        <v>0.28899999999999998</v>
      </c>
      <c r="N215" s="10">
        <v>203495</v>
      </c>
      <c r="O215" s="7">
        <v>349.95</v>
      </c>
      <c r="P215" s="7">
        <f t="array" ref="P215">K215*O215</f>
        <v>2141.694</v>
      </c>
      <c r="Q215" s="7">
        <f t="array" ref="Q215">L215*O215</f>
        <v>1522.2824999999998</v>
      </c>
      <c r="R215" s="7">
        <f t="array" ref="R215">N215*K215</f>
        <v>1245389.3999999999</v>
      </c>
      <c r="S215" s="7">
        <f t="array" ref="S215">N215*K215*O215</f>
        <v>435824020.52999997</v>
      </c>
    </row>
    <row r="216" spans="1:19" ht="14.25" customHeight="1" x14ac:dyDescent="0.3">
      <c r="A216">
        <v>215</v>
      </c>
      <c r="B216" s="12">
        <v>45231</v>
      </c>
      <c r="C216" s="5">
        <v>2023</v>
      </c>
      <c r="D216" s="5" t="s">
        <v>39</v>
      </c>
      <c r="E216" s="5" t="s">
        <v>58</v>
      </c>
      <c r="F216" s="6" t="s">
        <v>48</v>
      </c>
      <c r="G216" s="6" t="s">
        <v>21</v>
      </c>
      <c r="H216" s="9" t="s">
        <v>23</v>
      </c>
      <c r="I216" s="9" t="s">
        <v>32</v>
      </c>
      <c r="J216" s="9" t="s">
        <v>49</v>
      </c>
      <c r="K216" s="7">
        <v>17.39</v>
      </c>
      <c r="L216" s="7">
        <v>12.49</v>
      </c>
      <c r="M216" s="8">
        <v>0.28199999999999997</v>
      </c>
      <c r="N216" s="10">
        <v>256866</v>
      </c>
      <c r="O216" s="7">
        <v>349.95</v>
      </c>
      <c r="P216" s="7">
        <f t="array" ref="P216">K216*O216</f>
        <v>6085.6305000000002</v>
      </c>
      <c r="Q216" s="7">
        <f t="array" ref="Q216">L216*O216</f>
        <v>4370.8755000000001</v>
      </c>
      <c r="R216" s="7">
        <f t="array" ref="R216">N216*K216</f>
        <v>4466899.74</v>
      </c>
      <c r="S216" s="7">
        <f t="array" ref="S216">N216*K216*O216</f>
        <v>1563191564.013</v>
      </c>
    </row>
    <row r="217" spans="1:19" ht="14.25" customHeight="1" x14ac:dyDescent="0.3">
      <c r="A217">
        <v>216</v>
      </c>
      <c r="B217" s="12">
        <v>45231</v>
      </c>
      <c r="C217" s="5">
        <v>2023</v>
      </c>
      <c r="D217" s="5" t="s">
        <v>50</v>
      </c>
      <c r="E217" s="5" t="s">
        <v>60</v>
      </c>
      <c r="F217" s="6" t="s">
        <v>56</v>
      </c>
      <c r="G217" s="6" t="s">
        <v>21</v>
      </c>
      <c r="H217" s="9" t="s">
        <v>38</v>
      </c>
      <c r="I217" s="9" t="s">
        <v>46</v>
      </c>
      <c r="J217" s="9" t="s">
        <v>49</v>
      </c>
      <c r="K217" s="7">
        <v>10.02</v>
      </c>
      <c r="L217" s="7">
        <v>6.95</v>
      </c>
      <c r="M217" s="8">
        <v>0.30599999999999999</v>
      </c>
      <c r="N217" s="10">
        <v>291835</v>
      </c>
      <c r="O217" s="7">
        <v>349.95</v>
      </c>
      <c r="P217" s="7">
        <f t="array" ref="P217">K217*O217</f>
        <v>3506.4989999999998</v>
      </c>
      <c r="Q217" s="7">
        <f t="array" ref="Q217">L217*O217</f>
        <v>2432.1525000000001</v>
      </c>
      <c r="R217" s="7">
        <f t="array" ref="R217">N217*K217</f>
        <v>2924186.6999999997</v>
      </c>
      <c r="S217" s="7">
        <f t="array" ref="S217">N217*K217*O217</f>
        <v>1023319135.6649998</v>
      </c>
    </row>
    <row r="218" spans="1:19" ht="14.25" customHeight="1" x14ac:dyDescent="0.3">
      <c r="A218">
        <v>217</v>
      </c>
      <c r="B218" s="12">
        <v>45231</v>
      </c>
      <c r="C218" s="5">
        <v>2023</v>
      </c>
      <c r="D218" s="5" t="s">
        <v>42</v>
      </c>
      <c r="E218" s="5" t="s">
        <v>43</v>
      </c>
      <c r="F218" s="6" t="s">
        <v>69</v>
      </c>
      <c r="G218" s="6" t="s">
        <v>21</v>
      </c>
      <c r="H218" s="9" t="s">
        <v>23</v>
      </c>
      <c r="I218" s="9" t="s">
        <v>24</v>
      </c>
      <c r="J218" s="9" t="s">
        <v>22</v>
      </c>
      <c r="K218" s="7">
        <v>8.91</v>
      </c>
      <c r="L218" s="7">
        <v>4.78</v>
      </c>
      <c r="M218" s="8">
        <v>0.46400000000000002</v>
      </c>
      <c r="N218" s="10">
        <v>291655</v>
      </c>
      <c r="O218" s="7">
        <v>349.95</v>
      </c>
      <c r="P218" s="7">
        <f t="array" ref="P218">K218*O218</f>
        <v>3118.0544999999997</v>
      </c>
      <c r="Q218" s="7">
        <f t="array" ref="Q218">L218*O218</f>
        <v>1672.761</v>
      </c>
      <c r="R218" s="7">
        <f t="array" ref="R218">N218*K218</f>
        <v>2598646.0499999998</v>
      </c>
      <c r="S218" s="7">
        <f t="array" ref="S218">N218*K218*O218</f>
        <v>909396185.19749987</v>
      </c>
    </row>
    <row r="219" spans="1:19" ht="14.25" customHeight="1" x14ac:dyDescent="0.3">
      <c r="A219">
        <v>218</v>
      </c>
      <c r="B219" s="12">
        <v>45231</v>
      </c>
      <c r="C219" s="5">
        <v>2023</v>
      </c>
      <c r="D219" s="5" t="s">
        <v>42</v>
      </c>
      <c r="E219" s="5" t="s">
        <v>66</v>
      </c>
      <c r="F219" s="6" t="s">
        <v>69</v>
      </c>
      <c r="G219" s="6" t="s">
        <v>21</v>
      </c>
      <c r="H219" s="9" t="s">
        <v>23</v>
      </c>
      <c r="I219" s="9" t="s">
        <v>46</v>
      </c>
      <c r="J219" s="9" t="s">
        <v>31</v>
      </c>
      <c r="K219" s="7">
        <v>8.52</v>
      </c>
      <c r="L219" s="7">
        <v>6.07</v>
      </c>
      <c r="M219" s="8">
        <v>0.28799999999999998</v>
      </c>
      <c r="N219" s="10">
        <v>277495</v>
      </c>
      <c r="O219" s="7">
        <v>349.95</v>
      </c>
      <c r="P219" s="7">
        <f t="array" ref="P219">K219*O219</f>
        <v>2981.5739999999996</v>
      </c>
      <c r="Q219" s="7">
        <f t="array" ref="Q219">L219*O219</f>
        <v>2124.1965</v>
      </c>
      <c r="R219" s="7">
        <f t="array" ref="R219">N219*K219</f>
        <v>2364257.4</v>
      </c>
      <c r="S219" s="7">
        <f t="array" ref="S219">N219*K219*O219</f>
        <v>827371877.13</v>
      </c>
    </row>
    <row r="220" spans="1:19" ht="14.25" customHeight="1" x14ac:dyDescent="0.3">
      <c r="A220">
        <v>219</v>
      </c>
      <c r="B220" s="12">
        <v>45231</v>
      </c>
      <c r="C220" s="5">
        <v>2023</v>
      </c>
      <c r="D220" s="5" t="s">
        <v>18</v>
      </c>
      <c r="E220" s="5" t="s">
        <v>61</v>
      </c>
      <c r="F220" s="6" t="s">
        <v>54</v>
      </c>
      <c r="G220" s="6" t="s">
        <v>36</v>
      </c>
      <c r="H220" s="9" t="s">
        <v>23</v>
      </c>
      <c r="I220" s="9" t="s">
        <v>32</v>
      </c>
      <c r="J220" s="9" t="s">
        <v>31</v>
      </c>
      <c r="K220" s="7">
        <v>18.079999999999998</v>
      </c>
      <c r="L220" s="7">
        <v>9.61</v>
      </c>
      <c r="M220" s="8">
        <v>0.46800000000000003</v>
      </c>
      <c r="N220" s="10">
        <v>104378</v>
      </c>
      <c r="O220" s="7">
        <v>349.95</v>
      </c>
      <c r="P220" s="7">
        <f t="array" ref="P220">K220*O220</f>
        <v>6327.0959999999995</v>
      </c>
      <c r="Q220" s="7">
        <f t="array" ref="Q220">L220*O220</f>
        <v>3363.0194999999999</v>
      </c>
      <c r="R220" s="7">
        <f t="array" ref="R220">N220*K220</f>
        <v>1887154.2399999998</v>
      </c>
      <c r="S220" s="7">
        <f t="array" ref="S220">N220*K220*O220</f>
        <v>660409626.28799987</v>
      </c>
    </row>
    <row r="221" spans="1:19" ht="14.25" customHeight="1" x14ac:dyDescent="0.3">
      <c r="A221">
        <v>220</v>
      </c>
      <c r="B221" s="12">
        <v>45231</v>
      </c>
      <c r="C221" s="5">
        <v>2023</v>
      </c>
      <c r="D221" s="5" t="s">
        <v>39</v>
      </c>
      <c r="E221" s="5" t="s">
        <v>40</v>
      </c>
      <c r="F221" s="6" t="s">
        <v>48</v>
      </c>
      <c r="G221" s="6" t="s">
        <v>36</v>
      </c>
      <c r="H221" s="9" t="s">
        <v>28</v>
      </c>
      <c r="I221" s="9" t="s">
        <v>24</v>
      </c>
      <c r="J221" s="9" t="s">
        <v>22</v>
      </c>
      <c r="K221" s="7">
        <v>16.079999999999998</v>
      </c>
      <c r="L221" s="7">
        <v>8.93</v>
      </c>
      <c r="M221" s="8">
        <v>0.44500000000000001</v>
      </c>
      <c r="N221" s="10">
        <v>95934</v>
      </c>
      <c r="O221" s="7">
        <v>349.95</v>
      </c>
      <c r="P221" s="7">
        <f t="array" ref="P221">K221*O221</f>
        <v>5627.195999999999</v>
      </c>
      <c r="Q221" s="7">
        <f t="array" ref="Q221">L221*O221</f>
        <v>3125.0535</v>
      </c>
      <c r="R221" s="7">
        <f t="array" ref="R221">N221*K221</f>
        <v>1542618.7199999997</v>
      </c>
      <c r="S221" s="7">
        <f t="array" ref="S221">N221*K221*O221</f>
        <v>539839421.06399989</v>
      </c>
    </row>
    <row r="222" spans="1:19" ht="14.25" customHeight="1" x14ac:dyDescent="0.3">
      <c r="A222">
        <v>221</v>
      </c>
      <c r="B222" s="12">
        <v>45231</v>
      </c>
      <c r="C222" s="5">
        <v>2023</v>
      </c>
      <c r="D222" s="5" t="s">
        <v>18</v>
      </c>
      <c r="E222" s="5" t="s">
        <v>19</v>
      </c>
      <c r="F222" s="6" t="s">
        <v>55</v>
      </c>
      <c r="G222" s="6" t="s">
        <v>36</v>
      </c>
      <c r="H222" s="9" t="s">
        <v>28</v>
      </c>
      <c r="I222" s="9" t="s">
        <v>32</v>
      </c>
      <c r="J222" s="9" t="s">
        <v>49</v>
      </c>
      <c r="K222" s="7">
        <v>17.82</v>
      </c>
      <c r="L222" s="7">
        <v>9.4600000000000009</v>
      </c>
      <c r="M222" s="8">
        <v>0.46899999999999997</v>
      </c>
      <c r="N222" s="10">
        <v>218664</v>
      </c>
      <c r="O222" s="7">
        <v>349.95</v>
      </c>
      <c r="P222" s="7">
        <f t="array" ref="P222">K222*O222</f>
        <v>6236.1089999999995</v>
      </c>
      <c r="Q222" s="7">
        <f t="array" ref="Q222">L222*O222</f>
        <v>3310.527</v>
      </c>
      <c r="R222" s="7">
        <f t="array" ref="R222">N222*K222</f>
        <v>3896592.48</v>
      </c>
      <c r="S222" s="7">
        <f t="array" ref="S222">N222*K222*O222</f>
        <v>1363612538.3759999</v>
      </c>
    </row>
    <row r="223" spans="1:19" ht="14.25" customHeight="1" x14ac:dyDescent="0.3">
      <c r="A223">
        <v>222</v>
      </c>
      <c r="B223" s="12">
        <v>45231</v>
      </c>
      <c r="C223" s="5">
        <v>2023</v>
      </c>
      <c r="D223" s="5" t="s">
        <v>50</v>
      </c>
      <c r="E223" s="5" t="s">
        <v>67</v>
      </c>
      <c r="F223" s="6" t="s">
        <v>62</v>
      </c>
      <c r="G223" s="6" t="s">
        <v>36</v>
      </c>
      <c r="H223" s="9" t="s">
        <v>28</v>
      </c>
      <c r="I223" s="9" t="s">
        <v>32</v>
      </c>
      <c r="J223" s="9" t="s">
        <v>49</v>
      </c>
      <c r="K223" s="7">
        <v>10.55</v>
      </c>
      <c r="L223" s="7">
        <v>7.02</v>
      </c>
      <c r="M223" s="8">
        <v>0.33500000000000002</v>
      </c>
      <c r="N223" s="10">
        <v>218964</v>
      </c>
      <c r="O223" s="7">
        <v>349.95</v>
      </c>
      <c r="P223" s="7">
        <f t="array" ref="P223">K223*O223</f>
        <v>3691.9725000000003</v>
      </c>
      <c r="Q223" s="7">
        <f t="array" ref="Q223">L223*O223</f>
        <v>2456.6489999999999</v>
      </c>
      <c r="R223" s="7">
        <f t="array" ref="R223">N223*K223</f>
        <v>2310070.2000000002</v>
      </c>
      <c r="S223" s="7">
        <f t="array" ref="S223">N223*K223*O223</f>
        <v>808409066.49000001</v>
      </c>
    </row>
    <row r="224" spans="1:19" ht="14.25" customHeight="1" x14ac:dyDescent="0.3">
      <c r="A224">
        <v>223</v>
      </c>
      <c r="B224" s="12">
        <v>45231</v>
      </c>
      <c r="C224" s="5">
        <v>2023</v>
      </c>
      <c r="D224" s="5" t="s">
        <v>18</v>
      </c>
      <c r="E224" s="5" t="s">
        <v>59</v>
      </c>
      <c r="F224" s="6" t="s">
        <v>54</v>
      </c>
      <c r="G224" s="6" t="s">
        <v>36</v>
      </c>
      <c r="H224" s="9" t="s">
        <v>23</v>
      </c>
      <c r="I224" s="9" t="s">
        <v>32</v>
      </c>
      <c r="J224" s="9" t="s">
        <v>49</v>
      </c>
      <c r="K224" s="7">
        <v>11.27</v>
      </c>
      <c r="L224" s="7">
        <v>5.71</v>
      </c>
      <c r="M224" s="8">
        <v>0.49299999999999999</v>
      </c>
      <c r="N224" s="10">
        <v>241195</v>
      </c>
      <c r="O224" s="7">
        <v>349.95</v>
      </c>
      <c r="P224" s="7">
        <f t="array" ref="P224">K224*O224</f>
        <v>3943.9364999999998</v>
      </c>
      <c r="Q224" s="7">
        <f t="array" ref="Q224">L224*O224</f>
        <v>1998.2144999999998</v>
      </c>
      <c r="R224" s="7">
        <f t="array" ref="R224">N224*K224</f>
        <v>2718267.65</v>
      </c>
      <c r="S224" s="7">
        <f t="array" ref="S224">N224*K224*O224</f>
        <v>951257764.11749995</v>
      </c>
    </row>
    <row r="225" spans="1:19" ht="14.25" customHeight="1" x14ac:dyDescent="0.3">
      <c r="A225">
        <v>224</v>
      </c>
      <c r="B225" s="12">
        <v>45231</v>
      </c>
      <c r="C225" s="5">
        <v>2023</v>
      </c>
      <c r="D225" s="5" t="s">
        <v>50</v>
      </c>
      <c r="E225" s="5" t="s">
        <v>60</v>
      </c>
      <c r="F225" s="6" t="s">
        <v>56</v>
      </c>
      <c r="G225" s="6" t="s">
        <v>21</v>
      </c>
      <c r="H225" s="9" t="s">
        <v>28</v>
      </c>
      <c r="I225" s="9" t="s">
        <v>29</v>
      </c>
      <c r="J225" s="9" t="s">
        <v>49</v>
      </c>
      <c r="K225" s="7">
        <v>14.81</v>
      </c>
      <c r="L225" s="7">
        <v>8.99</v>
      </c>
      <c r="M225" s="8">
        <v>0.39300000000000002</v>
      </c>
      <c r="N225" s="10">
        <v>104295</v>
      </c>
      <c r="O225" s="7">
        <v>349.95</v>
      </c>
      <c r="P225" s="7">
        <f t="array" ref="P225">K225*O225</f>
        <v>5182.7595000000001</v>
      </c>
      <c r="Q225" s="7">
        <f t="array" ref="Q225">L225*O225</f>
        <v>3146.0504999999998</v>
      </c>
      <c r="R225" s="7">
        <f t="array" ref="R225">N225*K225</f>
        <v>1544608.95</v>
      </c>
      <c r="S225" s="7">
        <f t="array" ref="S225">N225*K225*O225</f>
        <v>540535902.05250001</v>
      </c>
    </row>
    <row r="226" spans="1:19" ht="14.25" customHeight="1" x14ac:dyDescent="0.3">
      <c r="A226">
        <v>225</v>
      </c>
      <c r="B226" s="12">
        <v>45231</v>
      </c>
      <c r="C226" s="5">
        <v>2023</v>
      </c>
      <c r="D226" s="5" t="s">
        <v>18</v>
      </c>
      <c r="E226" s="5" t="s">
        <v>61</v>
      </c>
      <c r="F226" s="6" t="s">
        <v>55</v>
      </c>
      <c r="G226" s="6" t="s">
        <v>36</v>
      </c>
      <c r="H226" s="9" t="s">
        <v>38</v>
      </c>
      <c r="I226" s="9" t="s">
        <v>29</v>
      </c>
      <c r="J226" s="9" t="s">
        <v>22</v>
      </c>
      <c r="K226" s="7">
        <v>6.78</v>
      </c>
      <c r="L226" s="7">
        <v>3.44</v>
      </c>
      <c r="M226" s="8">
        <v>0.49299999999999999</v>
      </c>
      <c r="N226" s="10">
        <v>66358</v>
      </c>
      <c r="O226" s="7">
        <v>349.95</v>
      </c>
      <c r="P226" s="7">
        <f t="array" ref="P226">K226*O226</f>
        <v>2372.6610000000001</v>
      </c>
      <c r="Q226" s="7">
        <f t="array" ref="Q226">L226*O226</f>
        <v>1203.828</v>
      </c>
      <c r="R226" s="7">
        <f t="array" ref="R226">N226*K226</f>
        <v>449907.24</v>
      </c>
      <c r="S226" s="7">
        <f t="array" ref="S226">N226*K226*O226</f>
        <v>157445038.63799998</v>
      </c>
    </row>
    <row r="227" spans="1:19" ht="14.25" customHeight="1" x14ac:dyDescent="0.3">
      <c r="A227">
        <v>226</v>
      </c>
      <c r="B227" s="12">
        <v>45231</v>
      </c>
      <c r="C227" s="5">
        <v>2023</v>
      </c>
      <c r="D227" s="5" t="s">
        <v>18</v>
      </c>
      <c r="E227" s="5" t="s">
        <v>61</v>
      </c>
      <c r="F227" s="6" t="s">
        <v>20</v>
      </c>
      <c r="G227" s="6" t="s">
        <v>36</v>
      </c>
      <c r="H227" s="9" t="s">
        <v>28</v>
      </c>
      <c r="I227" s="9" t="s">
        <v>24</v>
      </c>
      <c r="J227" s="9" t="s">
        <v>49</v>
      </c>
      <c r="K227" s="7">
        <v>7.36</v>
      </c>
      <c r="L227" s="7">
        <v>5.24</v>
      </c>
      <c r="M227" s="8">
        <v>0.28799999999999998</v>
      </c>
      <c r="N227" s="10">
        <v>70497</v>
      </c>
      <c r="O227" s="7">
        <v>349.95</v>
      </c>
      <c r="P227" s="7">
        <f t="array" ref="P227">K227*O227</f>
        <v>2575.6320000000001</v>
      </c>
      <c r="Q227" s="7">
        <f t="array" ref="Q227">L227*O227</f>
        <v>1833.7380000000001</v>
      </c>
      <c r="R227" s="7">
        <f t="array" ref="R227">N227*K227</f>
        <v>518857.92000000004</v>
      </c>
      <c r="S227" s="7">
        <f t="array" ref="S227">N227*K227*O227</f>
        <v>181574329.104</v>
      </c>
    </row>
    <row r="228" spans="1:19" ht="14.25" customHeight="1" x14ac:dyDescent="0.3">
      <c r="A228">
        <v>227</v>
      </c>
      <c r="B228" s="12">
        <v>45231</v>
      </c>
      <c r="C228" s="5">
        <v>2023</v>
      </c>
      <c r="D228" s="5" t="s">
        <v>50</v>
      </c>
      <c r="E228" s="5" t="s">
        <v>51</v>
      </c>
      <c r="F228" s="6" t="s">
        <v>56</v>
      </c>
      <c r="G228" s="6" t="s">
        <v>21</v>
      </c>
      <c r="H228" s="9" t="s">
        <v>23</v>
      </c>
      <c r="I228" s="9" t="s">
        <v>24</v>
      </c>
      <c r="J228" s="9" t="s">
        <v>31</v>
      </c>
      <c r="K228" s="7">
        <v>16.600000000000001</v>
      </c>
      <c r="L228" s="7">
        <v>12.08</v>
      </c>
      <c r="M228" s="8">
        <v>0.27200000000000002</v>
      </c>
      <c r="N228" s="10">
        <v>296633</v>
      </c>
      <c r="O228" s="7">
        <v>349.95</v>
      </c>
      <c r="P228" s="7">
        <f t="array" ref="P228">K228*O228</f>
        <v>5809.17</v>
      </c>
      <c r="Q228" s="7">
        <f t="array" ref="Q228">L228*O228</f>
        <v>4227.3959999999997</v>
      </c>
      <c r="R228" s="7">
        <f t="array" ref="R228">N228*K228</f>
        <v>4924107.8000000007</v>
      </c>
      <c r="S228" s="7">
        <f t="array" ref="S228">N228*K228*O228</f>
        <v>1723191524.6100001</v>
      </c>
    </row>
    <row r="229" spans="1:19" ht="14.25" customHeight="1" x14ac:dyDescent="0.3">
      <c r="A229">
        <v>228</v>
      </c>
      <c r="B229" s="12">
        <v>45231</v>
      </c>
      <c r="C229" s="5">
        <v>2023</v>
      </c>
      <c r="D229" s="5" t="s">
        <v>33</v>
      </c>
      <c r="E229" s="5" t="s">
        <v>37</v>
      </c>
      <c r="F229" s="6" t="s">
        <v>20</v>
      </c>
      <c r="G229" s="6" t="s">
        <v>21</v>
      </c>
      <c r="H229" s="9" t="s">
        <v>23</v>
      </c>
      <c r="I229" s="9" t="s">
        <v>24</v>
      </c>
      <c r="J229" s="9" t="s">
        <v>31</v>
      </c>
      <c r="K229" s="7">
        <v>5.42</v>
      </c>
      <c r="L229" s="7">
        <v>3.72</v>
      </c>
      <c r="M229" s="8">
        <v>0.314</v>
      </c>
      <c r="N229" s="10">
        <v>281662</v>
      </c>
      <c r="O229" s="7">
        <v>349.95</v>
      </c>
      <c r="P229" s="7">
        <f t="array" ref="P229">K229*O229</f>
        <v>1896.7289999999998</v>
      </c>
      <c r="Q229" s="7">
        <f t="array" ref="Q229">L229*O229</f>
        <v>1301.8140000000001</v>
      </c>
      <c r="R229" s="7">
        <f t="array" ref="R229">N229*K229</f>
        <v>1526608.04</v>
      </c>
      <c r="S229" s="7">
        <f t="array" ref="S229">N229*K229*O229</f>
        <v>534236483.59799999</v>
      </c>
    </row>
    <row r="230" spans="1:19" ht="14.25" customHeight="1" x14ac:dyDescent="0.3">
      <c r="A230">
        <v>229</v>
      </c>
      <c r="B230" s="12">
        <v>45231</v>
      </c>
      <c r="C230" s="5">
        <v>2023</v>
      </c>
      <c r="D230" s="5" t="s">
        <v>42</v>
      </c>
      <c r="E230" s="5" t="s">
        <v>66</v>
      </c>
      <c r="F230" s="6" t="s">
        <v>69</v>
      </c>
      <c r="G230" s="6" t="s">
        <v>36</v>
      </c>
      <c r="H230" s="9" t="s">
        <v>23</v>
      </c>
      <c r="I230" s="9" t="s">
        <v>29</v>
      </c>
      <c r="J230" s="9" t="s">
        <v>22</v>
      </c>
      <c r="K230" s="7">
        <v>13.74</v>
      </c>
      <c r="L230" s="7">
        <v>8.1</v>
      </c>
      <c r="M230" s="8">
        <v>0.41</v>
      </c>
      <c r="N230" s="10">
        <v>90663</v>
      </c>
      <c r="O230" s="7">
        <v>349.95</v>
      </c>
      <c r="P230" s="7">
        <f t="array" ref="P230">K230*O230</f>
        <v>4808.3130000000001</v>
      </c>
      <c r="Q230" s="7">
        <f t="array" ref="Q230">L230*O230</f>
        <v>2834.5949999999998</v>
      </c>
      <c r="R230" s="7">
        <f t="array" ref="R230">N230*K230</f>
        <v>1245709.6200000001</v>
      </c>
      <c r="S230" s="7">
        <f t="array" ref="S230">N230*K230*O230</f>
        <v>435936081.51900005</v>
      </c>
    </row>
    <row r="231" spans="1:19" ht="14.25" customHeight="1" x14ac:dyDescent="0.3">
      <c r="A231">
        <v>230</v>
      </c>
      <c r="B231" s="12">
        <v>45231</v>
      </c>
      <c r="C231" s="5">
        <v>2023</v>
      </c>
      <c r="D231" s="5" t="s">
        <v>18</v>
      </c>
      <c r="E231" s="5" t="s">
        <v>59</v>
      </c>
      <c r="F231" s="6" t="s">
        <v>55</v>
      </c>
      <c r="G231" s="6" t="s">
        <v>21</v>
      </c>
      <c r="H231" s="9" t="s">
        <v>23</v>
      </c>
      <c r="I231" s="9" t="s">
        <v>24</v>
      </c>
      <c r="J231" s="9" t="s">
        <v>31</v>
      </c>
      <c r="K231" s="7">
        <v>9.7100000000000009</v>
      </c>
      <c r="L231" s="7">
        <v>6.49</v>
      </c>
      <c r="M231" s="8">
        <v>0.33200000000000002</v>
      </c>
      <c r="N231" s="10">
        <v>219626</v>
      </c>
      <c r="O231" s="7">
        <v>349.95</v>
      </c>
      <c r="P231" s="7">
        <f t="array" ref="P231">K231*O231</f>
        <v>3398.0145000000002</v>
      </c>
      <c r="Q231" s="7">
        <f t="array" ref="Q231">L231*O231</f>
        <v>2271.1754999999998</v>
      </c>
      <c r="R231" s="7">
        <f t="array" ref="R231">N231*K231</f>
        <v>2132568.46</v>
      </c>
      <c r="S231" s="7">
        <f t="array" ref="S231">N231*K231*O231</f>
        <v>746292332.57700002</v>
      </c>
    </row>
    <row r="232" spans="1:19" ht="14.25" customHeight="1" x14ac:dyDescent="0.3">
      <c r="A232">
        <v>231</v>
      </c>
      <c r="B232" s="12">
        <v>45231</v>
      </c>
      <c r="C232" s="5">
        <v>2023</v>
      </c>
      <c r="D232" s="5" t="s">
        <v>33</v>
      </c>
      <c r="E232" s="5" t="s">
        <v>57</v>
      </c>
      <c r="F232" s="6" t="s">
        <v>47</v>
      </c>
      <c r="G232" s="6" t="s">
        <v>36</v>
      </c>
      <c r="H232" s="9" t="s">
        <v>38</v>
      </c>
      <c r="I232" s="9" t="s">
        <v>29</v>
      </c>
      <c r="J232" s="9" t="s">
        <v>31</v>
      </c>
      <c r="K232" s="7">
        <v>7.52</v>
      </c>
      <c r="L232" s="7">
        <v>5.72</v>
      </c>
      <c r="M232" s="8">
        <v>0.23899999999999999</v>
      </c>
      <c r="N232" s="10">
        <v>62680</v>
      </c>
      <c r="O232" s="7">
        <v>349.95</v>
      </c>
      <c r="P232" s="7">
        <f t="array" ref="P232">K232*O232</f>
        <v>2631.6239999999998</v>
      </c>
      <c r="Q232" s="7">
        <f t="array" ref="Q232">L232*O232</f>
        <v>2001.7139999999999</v>
      </c>
      <c r="R232" s="7">
        <f t="array" ref="R232">N232*K232</f>
        <v>471353.59999999998</v>
      </c>
      <c r="S232" s="7">
        <f t="array" ref="S232">N232*K232*O232</f>
        <v>164950192.31999999</v>
      </c>
    </row>
    <row r="233" spans="1:19" ht="14.25" customHeight="1" x14ac:dyDescent="0.3">
      <c r="A233">
        <v>232</v>
      </c>
      <c r="B233" s="12">
        <v>45231</v>
      </c>
      <c r="C233" s="5">
        <v>2023</v>
      </c>
      <c r="D233" s="5" t="s">
        <v>50</v>
      </c>
      <c r="E233" s="5" t="s">
        <v>60</v>
      </c>
      <c r="F233" s="6" t="s">
        <v>62</v>
      </c>
      <c r="G233" s="6" t="s">
        <v>64</v>
      </c>
      <c r="H233" s="9" t="s">
        <v>23</v>
      </c>
      <c r="I233" s="9" t="s">
        <v>29</v>
      </c>
      <c r="J233" s="9" t="s">
        <v>22</v>
      </c>
      <c r="K233" s="7">
        <v>8.43</v>
      </c>
      <c r="L233" s="7">
        <v>4.7699999999999996</v>
      </c>
      <c r="M233" s="8">
        <v>0.434</v>
      </c>
      <c r="N233" s="10">
        <v>202535</v>
      </c>
      <c r="O233" s="7">
        <v>349.95</v>
      </c>
      <c r="P233" s="7">
        <f t="array" ref="P233">K233*O233</f>
        <v>2950.0784999999996</v>
      </c>
      <c r="Q233" s="7">
        <f t="array" ref="Q233">L233*O233</f>
        <v>1669.2614999999998</v>
      </c>
      <c r="R233" s="7">
        <f t="array" ref="R233">N233*K233</f>
        <v>1707370.05</v>
      </c>
      <c r="S233" s="7">
        <f t="array" ref="S233">N233*K233*O233</f>
        <v>597494148.99749994</v>
      </c>
    </row>
    <row r="234" spans="1:19" ht="14.25" customHeight="1" x14ac:dyDescent="0.3">
      <c r="A234">
        <v>233</v>
      </c>
      <c r="B234" s="12">
        <v>45261</v>
      </c>
      <c r="C234" s="5">
        <v>2023</v>
      </c>
      <c r="D234" s="5" t="s">
        <v>42</v>
      </c>
      <c r="E234" s="5" t="s">
        <v>43</v>
      </c>
      <c r="F234" s="6" t="s">
        <v>45</v>
      </c>
      <c r="G234" s="6" t="s">
        <v>21</v>
      </c>
      <c r="H234" s="9" t="s">
        <v>38</v>
      </c>
      <c r="I234" s="9" t="s">
        <v>32</v>
      </c>
      <c r="J234" s="9" t="s">
        <v>31</v>
      </c>
      <c r="K234" s="7">
        <v>10.88</v>
      </c>
      <c r="L234" s="7">
        <v>8.2200000000000006</v>
      </c>
      <c r="M234" s="8">
        <v>0.24399999999999999</v>
      </c>
      <c r="N234" s="10">
        <v>191863</v>
      </c>
      <c r="O234" s="7">
        <v>361.1</v>
      </c>
      <c r="P234" s="7">
        <f t="array" ref="P234">K234*O234</f>
        <v>3928.7680000000005</v>
      </c>
      <c r="Q234" s="7">
        <f t="array" ref="Q234">L234*O234</f>
        <v>2968.2420000000006</v>
      </c>
      <c r="R234" s="7">
        <f t="array" ref="R234">N234*K234</f>
        <v>2087469.4400000002</v>
      </c>
      <c r="S234" s="7">
        <f t="array" ref="S234">N234*K234*O234</f>
        <v>753785214.78400016</v>
      </c>
    </row>
    <row r="235" spans="1:19" ht="14.25" customHeight="1" x14ac:dyDescent="0.3">
      <c r="A235">
        <v>234</v>
      </c>
      <c r="B235" s="12">
        <v>45261</v>
      </c>
      <c r="C235" s="5">
        <v>2023</v>
      </c>
      <c r="D235" s="5" t="s">
        <v>39</v>
      </c>
      <c r="E235" s="5" t="s">
        <v>58</v>
      </c>
      <c r="F235" s="6" t="s">
        <v>41</v>
      </c>
      <c r="G235" s="6" t="s">
        <v>36</v>
      </c>
      <c r="H235" s="9" t="s">
        <v>38</v>
      </c>
      <c r="I235" s="9" t="s">
        <v>46</v>
      </c>
      <c r="J235" s="9" t="s">
        <v>22</v>
      </c>
      <c r="K235" s="7">
        <v>19.940000000000001</v>
      </c>
      <c r="L235" s="7">
        <v>11.29</v>
      </c>
      <c r="M235" s="8">
        <v>0.434</v>
      </c>
      <c r="N235" s="10">
        <v>228180</v>
      </c>
      <c r="O235" s="7">
        <v>361.1</v>
      </c>
      <c r="P235" s="7">
        <f t="array" ref="P235">K235*O235</f>
        <v>7200.3340000000007</v>
      </c>
      <c r="Q235" s="7">
        <f t="array" ref="Q235">L235*O235</f>
        <v>4076.819</v>
      </c>
      <c r="R235" s="7">
        <f t="array" ref="R235">N235*K235</f>
        <v>4549909.2</v>
      </c>
      <c r="S235" s="7">
        <f t="array" ref="S235">N235*K235*O235</f>
        <v>1642972212.1200001</v>
      </c>
    </row>
    <row r="236" spans="1:19" ht="14.25" customHeight="1" x14ac:dyDescent="0.3">
      <c r="A236">
        <v>235</v>
      </c>
      <c r="B236" s="12">
        <v>45261</v>
      </c>
      <c r="C236" s="5">
        <v>2023</v>
      </c>
      <c r="D236" s="5" t="s">
        <v>18</v>
      </c>
      <c r="E236" s="5" t="s">
        <v>19</v>
      </c>
      <c r="F236" s="6" t="s">
        <v>54</v>
      </c>
      <c r="G236" s="6" t="s">
        <v>21</v>
      </c>
      <c r="H236" s="9" t="s">
        <v>23</v>
      </c>
      <c r="I236" s="9" t="s">
        <v>32</v>
      </c>
      <c r="J236" s="9" t="s">
        <v>22</v>
      </c>
      <c r="K236" s="7">
        <v>12.46</v>
      </c>
      <c r="L236" s="7">
        <v>7.52</v>
      </c>
      <c r="M236" s="8">
        <v>0.39600000000000002</v>
      </c>
      <c r="N236" s="10">
        <v>140699</v>
      </c>
      <c r="O236" s="7">
        <v>361.1</v>
      </c>
      <c r="P236" s="7">
        <f t="array" ref="P236">K236*O236</f>
        <v>4499.3060000000005</v>
      </c>
      <c r="Q236" s="7">
        <f t="array" ref="Q236">L236*O236</f>
        <v>2715.4720000000002</v>
      </c>
      <c r="R236" s="7">
        <f t="array" ref="R236">N236*K236</f>
        <v>1753109.54</v>
      </c>
      <c r="S236" s="7">
        <f t="array" ref="S236">N236*K236*O236</f>
        <v>633047854.89400005</v>
      </c>
    </row>
    <row r="237" spans="1:19" ht="14.25" customHeight="1" x14ac:dyDescent="0.3">
      <c r="A237">
        <v>236</v>
      </c>
      <c r="B237" s="12">
        <v>45261</v>
      </c>
      <c r="C237" s="5">
        <v>2023</v>
      </c>
      <c r="D237" s="5" t="s">
        <v>39</v>
      </c>
      <c r="E237" s="5" t="s">
        <v>40</v>
      </c>
      <c r="F237" s="6" t="s">
        <v>48</v>
      </c>
      <c r="G237" s="6" t="s">
        <v>64</v>
      </c>
      <c r="H237" s="9" t="s">
        <v>23</v>
      </c>
      <c r="I237" s="9" t="s">
        <v>32</v>
      </c>
      <c r="J237" s="9" t="s">
        <v>49</v>
      </c>
      <c r="K237" s="7">
        <v>6.35</v>
      </c>
      <c r="L237" s="7">
        <v>3.3</v>
      </c>
      <c r="M237" s="8">
        <v>0.48</v>
      </c>
      <c r="N237" s="10">
        <v>276855</v>
      </c>
      <c r="O237" s="7">
        <v>361.1</v>
      </c>
      <c r="P237" s="7">
        <f t="array" ref="P237">K237*O237</f>
        <v>2292.9850000000001</v>
      </c>
      <c r="Q237" s="7">
        <f t="array" ref="Q237">L237*O237</f>
        <v>1191.6300000000001</v>
      </c>
      <c r="R237" s="7">
        <f t="array" ref="R237">N237*K237</f>
        <v>1758029.25</v>
      </c>
      <c r="S237" s="7">
        <f t="array" ref="S237">N237*K237*O237</f>
        <v>634824362.17500007</v>
      </c>
    </row>
    <row r="238" spans="1:19" ht="14.25" customHeight="1" x14ac:dyDescent="0.3">
      <c r="A238">
        <v>237</v>
      </c>
      <c r="B238" s="12">
        <v>45261</v>
      </c>
      <c r="C238" s="5">
        <v>2023</v>
      </c>
      <c r="D238" s="5" t="s">
        <v>50</v>
      </c>
      <c r="E238" s="5" t="s">
        <v>51</v>
      </c>
      <c r="F238" s="6" t="s">
        <v>52</v>
      </c>
      <c r="G238" s="6" t="s">
        <v>64</v>
      </c>
      <c r="H238" s="9" t="s">
        <v>28</v>
      </c>
      <c r="I238" s="9" t="s">
        <v>29</v>
      </c>
      <c r="J238" s="9" t="s">
        <v>49</v>
      </c>
      <c r="K238" s="7">
        <v>10.35</v>
      </c>
      <c r="L238" s="7">
        <v>8.1999999999999993</v>
      </c>
      <c r="M238" s="8">
        <v>0.20799999999999999</v>
      </c>
      <c r="N238" s="10">
        <v>103221</v>
      </c>
      <c r="O238" s="7">
        <v>361.1</v>
      </c>
      <c r="P238" s="7">
        <f t="array" ref="P238">K238*O238</f>
        <v>3737.3850000000002</v>
      </c>
      <c r="Q238" s="7">
        <f t="array" ref="Q238">L238*O238</f>
        <v>2961.02</v>
      </c>
      <c r="R238" s="7">
        <f t="array" ref="R238">N238*K238</f>
        <v>1068337.3499999999</v>
      </c>
      <c r="S238" s="7">
        <f t="array" ref="S238">N238*K238*O238</f>
        <v>385776617.08499998</v>
      </c>
    </row>
    <row r="239" spans="1:19" ht="14.25" customHeight="1" x14ac:dyDescent="0.3">
      <c r="A239">
        <v>238</v>
      </c>
      <c r="B239" s="12">
        <v>45261</v>
      </c>
      <c r="C239" s="5">
        <v>2023</v>
      </c>
      <c r="D239" s="5" t="s">
        <v>42</v>
      </c>
      <c r="E239" s="5" t="s">
        <v>43</v>
      </c>
      <c r="F239" s="6" t="s">
        <v>45</v>
      </c>
      <c r="G239" s="6" t="s">
        <v>21</v>
      </c>
      <c r="H239" s="9" t="s">
        <v>23</v>
      </c>
      <c r="I239" s="9" t="s">
        <v>29</v>
      </c>
      <c r="J239" s="9" t="s">
        <v>22</v>
      </c>
      <c r="K239" s="7">
        <v>18.88</v>
      </c>
      <c r="L239" s="7">
        <v>14.05</v>
      </c>
      <c r="M239" s="8">
        <v>0.25600000000000001</v>
      </c>
      <c r="N239" s="10">
        <v>229820</v>
      </c>
      <c r="O239" s="7">
        <v>361.1</v>
      </c>
      <c r="P239" s="7">
        <f t="array" ref="P239">K239*O239</f>
        <v>6817.5680000000002</v>
      </c>
      <c r="Q239" s="7">
        <f t="array" ref="Q239">L239*O239</f>
        <v>5073.4550000000008</v>
      </c>
      <c r="R239" s="7">
        <f t="array" ref="R239">N239*K239</f>
        <v>4339001.5999999996</v>
      </c>
      <c r="S239" s="7">
        <f t="array" ref="S239">N239*K239*O239</f>
        <v>1566813477.76</v>
      </c>
    </row>
    <row r="240" spans="1:19" ht="14.25" customHeight="1" x14ac:dyDescent="0.3">
      <c r="A240">
        <v>239</v>
      </c>
      <c r="B240" s="12">
        <v>45261</v>
      </c>
      <c r="C240" s="5">
        <v>2023</v>
      </c>
      <c r="D240" s="5" t="s">
        <v>39</v>
      </c>
      <c r="E240" s="5" t="s">
        <v>58</v>
      </c>
      <c r="F240" s="6" t="s">
        <v>41</v>
      </c>
      <c r="G240" s="6" t="s">
        <v>64</v>
      </c>
      <c r="H240" s="9" t="s">
        <v>23</v>
      </c>
      <c r="I240" s="9" t="s">
        <v>29</v>
      </c>
      <c r="J240" s="9" t="s">
        <v>49</v>
      </c>
      <c r="K240" s="7">
        <v>13.69</v>
      </c>
      <c r="L240" s="7">
        <v>10.53</v>
      </c>
      <c r="M240" s="8">
        <v>0.23100000000000001</v>
      </c>
      <c r="N240" s="10">
        <v>281885</v>
      </c>
      <c r="O240" s="7">
        <v>361.1</v>
      </c>
      <c r="P240" s="7">
        <f t="array" ref="P240">K240*O240</f>
        <v>4943.4589999999998</v>
      </c>
      <c r="Q240" s="7">
        <f t="array" ref="Q240">L240*O240</f>
        <v>3802.3829999999998</v>
      </c>
      <c r="R240" s="7">
        <f t="array" ref="R240">N240*K240</f>
        <v>3859005.65</v>
      </c>
      <c r="S240" s="7">
        <f t="array" ref="S240">N240*K240*O240</f>
        <v>1393486940.2150002</v>
      </c>
    </row>
    <row r="241" spans="1:19" ht="14.25" customHeight="1" x14ac:dyDescent="0.3">
      <c r="A241">
        <v>240</v>
      </c>
      <c r="B241" s="12">
        <v>45261</v>
      </c>
      <c r="C241" s="5">
        <v>2023</v>
      </c>
      <c r="D241" s="5" t="s">
        <v>33</v>
      </c>
      <c r="E241" s="5" t="s">
        <v>57</v>
      </c>
      <c r="F241" s="6" t="s">
        <v>35</v>
      </c>
      <c r="G241" s="6" t="s">
        <v>36</v>
      </c>
      <c r="H241" s="9" t="s">
        <v>28</v>
      </c>
      <c r="I241" s="9" t="s">
        <v>24</v>
      </c>
      <c r="J241" s="9" t="s">
        <v>22</v>
      </c>
      <c r="K241" s="7">
        <v>13.12</v>
      </c>
      <c r="L241" s="7">
        <v>9.0500000000000007</v>
      </c>
      <c r="M241" s="8">
        <v>0.31</v>
      </c>
      <c r="N241" s="10">
        <v>54837</v>
      </c>
      <c r="O241" s="7">
        <v>361.1</v>
      </c>
      <c r="P241" s="7">
        <f t="array" ref="P241">K241*O241</f>
        <v>4737.6319999999996</v>
      </c>
      <c r="Q241" s="7">
        <f t="array" ref="Q241">L241*O241</f>
        <v>3267.9550000000004</v>
      </c>
      <c r="R241" s="7">
        <f t="array" ref="R241">N241*K241</f>
        <v>719461.44</v>
      </c>
      <c r="S241" s="7">
        <f t="array" ref="S241">N241*K241*O241</f>
        <v>259797525.984</v>
      </c>
    </row>
    <row r="242" spans="1:19" ht="14.25" customHeight="1" x14ac:dyDescent="0.3">
      <c r="A242">
        <v>241</v>
      </c>
      <c r="B242" s="12">
        <v>45261</v>
      </c>
      <c r="C242" s="5">
        <v>2023</v>
      </c>
      <c r="D242" s="5" t="s">
        <v>25</v>
      </c>
      <c r="E242" s="5" t="s">
        <v>70</v>
      </c>
      <c r="F242" s="6" t="s">
        <v>63</v>
      </c>
      <c r="G242" s="6" t="s">
        <v>21</v>
      </c>
      <c r="H242" s="9" t="s">
        <v>23</v>
      </c>
      <c r="I242" s="9" t="s">
        <v>29</v>
      </c>
      <c r="J242" s="9" t="s">
        <v>31</v>
      </c>
      <c r="K242" s="7">
        <v>18.420000000000002</v>
      </c>
      <c r="L242" s="7">
        <v>11.06</v>
      </c>
      <c r="M242" s="8">
        <v>0.4</v>
      </c>
      <c r="N242" s="10">
        <v>160043</v>
      </c>
      <c r="O242" s="7">
        <v>361.1</v>
      </c>
      <c r="P242" s="7">
        <f t="array" ref="P242">K242*O242</f>
        <v>6651.4620000000014</v>
      </c>
      <c r="Q242" s="7">
        <f t="array" ref="Q242">L242*O242</f>
        <v>3993.7660000000005</v>
      </c>
      <c r="R242" s="7">
        <f t="array" ref="R242">N242*K242</f>
        <v>2947992.06</v>
      </c>
      <c r="S242" s="7">
        <f t="array" ref="S242">N242*K242*O242</f>
        <v>1064519932.8660001</v>
      </c>
    </row>
    <row r="243" spans="1:19" ht="14.25" customHeight="1" x14ac:dyDescent="0.3">
      <c r="A243">
        <v>242</v>
      </c>
      <c r="B243" s="12">
        <v>45261</v>
      </c>
      <c r="C243" s="5">
        <v>2023</v>
      </c>
      <c r="D243" s="5" t="s">
        <v>39</v>
      </c>
      <c r="E243" s="5" t="s">
        <v>40</v>
      </c>
      <c r="F243" s="6" t="s">
        <v>20</v>
      </c>
      <c r="G243" s="6" t="s">
        <v>21</v>
      </c>
      <c r="H243" s="9" t="s">
        <v>28</v>
      </c>
      <c r="I243" s="9" t="s">
        <v>32</v>
      </c>
      <c r="J243" s="9" t="s">
        <v>22</v>
      </c>
      <c r="K243" s="7">
        <v>18.079999999999998</v>
      </c>
      <c r="L243" s="7">
        <v>14.29</v>
      </c>
      <c r="M243" s="8">
        <v>0.21</v>
      </c>
      <c r="N243" s="10">
        <v>160334</v>
      </c>
      <c r="O243" s="7">
        <v>361.1</v>
      </c>
      <c r="P243" s="7">
        <f t="array" ref="P243">K243*O243</f>
        <v>6528.6880000000001</v>
      </c>
      <c r="Q243" s="7">
        <f t="array" ref="Q243">L243*O243</f>
        <v>5160.1189999999997</v>
      </c>
      <c r="R243" s="7">
        <f t="array" ref="R243">N243*K243</f>
        <v>2898838.7199999997</v>
      </c>
      <c r="S243" s="7">
        <f t="array" ref="S243">N243*K243*O243</f>
        <v>1046770661.7919999</v>
      </c>
    </row>
    <row r="244" spans="1:19" ht="14.25" customHeight="1" x14ac:dyDescent="0.3">
      <c r="A244">
        <v>243</v>
      </c>
      <c r="B244" s="12">
        <v>45261</v>
      </c>
      <c r="C244" s="5">
        <v>2023</v>
      </c>
      <c r="D244" s="5" t="s">
        <v>18</v>
      </c>
      <c r="E244" s="5" t="s">
        <v>59</v>
      </c>
      <c r="F244" s="6" t="s">
        <v>20</v>
      </c>
      <c r="G244" s="6" t="s">
        <v>21</v>
      </c>
      <c r="H244" s="9" t="s">
        <v>28</v>
      </c>
      <c r="I244" s="9" t="s">
        <v>29</v>
      </c>
      <c r="J244" s="9" t="s">
        <v>22</v>
      </c>
      <c r="K244" s="7">
        <v>10.49</v>
      </c>
      <c r="L244" s="7">
        <v>6.45</v>
      </c>
      <c r="M244" s="8">
        <v>0.38500000000000001</v>
      </c>
      <c r="N244" s="10">
        <v>56962</v>
      </c>
      <c r="O244" s="7">
        <v>361.1</v>
      </c>
      <c r="P244" s="7">
        <f t="array" ref="P244">K244*O244</f>
        <v>3787.9390000000003</v>
      </c>
      <c r="Q244" s="7">
        <f t="array" ref="Q244">L244*O244</f>
        <v>2329.0950000000003</v>
      </c>
      <c r="R244" s="7">
        <f t="array" ref="R244">N244*K244</f>
        <v>597531.38</v>
      </c>
      <c r="S244" s="7">
        <f t="array" ref="S244">N244*K244*O244</f>
        <v>215768581.31800002</v>
      </c>
    </row>
    <row r="245" spans="1:19" ht="14.25" customHeight="1" x14ac:dyDescent="0.3">
      <c r="A245">
        <v>244</v>
      </c>
      <c r="B245" s="12">
        <v>45261</v>
      </c>
      <c r="C245" s="5">
        <v>2023</v>
      </c>
      <c r="D245" s="5" t="s">
        <v>25</v>
      </c>
      <c r="E245" s="5" t="s">
        <v>26</v>
      </c>
      <c r="F245" s="6" t="s">
        <v>30</v>
      </c>
      <c r="G245" s="6" t="s">
        <v>21</v>
      </c>
      <c r="H245" s="9" t="s">
        <v>23</v>
      </c>
      <c r="I245" s="9" t="s">
        <v>24</v>
      </c>
      <c r="J245" s="9" t="s">
        <v>49</v>
      </c>
      <c r="K245" s="7">
        <v>11.63</v>
      </c>
      <c r="L245" s="7">
        <v>6.99</v>
      </c>
      <c r="M245" s="8">
        <v>0.39900000000000002</v>
      </c>
      <c r="N245" s="10">
        <v>131012</v>
      </c>
      <c r="O245" s="7">
        <v>361.1</v>
      </c>
      <c r="P245" s="7">
        <f t="array" ref="P245">K245*O245</f>
        <v>4199.5930000000008</v>
      </c>
      <c r="Q245" s="7">
        <f t="array" ref="Q245">L245*O245</f>
        <v>2524.0890000000004</v>
      </c>
      <c r="R245" s="7">
        <f t="array" ref="R245">N245*K245</f>
        <v>1523669.56</v>
      </c>
      <c r="S245" s="7">
        <f t="array" ref="S245">N245*K245*O245</f>
        <v>550197078.11600006</v>
      </c>
    </row>
    <row r="246" spans="1:19" ht="14.25" customHeight="1" x14ac:dyDescent="0.3">
      <c r="A246">
        <v>245</v>
      </c>
      <c r="B246" s="12">
        <v>45261</v>
      </c>
      <c r="C246" s="5">
        <v>2023</v>
      </c>
      <c r="D246" s="5" t="s">
        <v>33</v>
      </c>
      <c r="E246" s="5" t="s">
        <v>34</v>
      </c>
      <c r="F246" s="6" t="s">
        <v>47</v>
      </c>
      <c r="G246" s="6" t="s">
        <v>36</v>
      </c>
      <c r="H246" s="9" t="s">
        <v>28</v>
      </c>
      <c r="I246" s="9" t="s">
        <v>24</v>
      </c>
      <c r="J246" s="9" t="s">
        <v>22</v>
      </c>
      <c r="K246" s="7">
        <v>5.44</v>
      </c>
      <c r="L246" s="7">
        <v>3.47</v>
      </c>
      <c r="M246" s="8">
        <v>0.36199999999999999</v>
      </c>
      <c r="N246" s="10">
        <v>257091</v>
      </c>
      <c r="O246" s="7">
        <v>361.1</v>
      </c>
      <c r="P246" s="7">
        <f t="array" ref="P246">K246*O246</f>
        <v>1964.3840000000002</v>
      </c>
      <c r="Q246" s="7">
        <f t="array" ref="Q246">L246*O246</f>
        <v>1253.0170000000001</v>
      </c>
      <c r="R246" s="7">
        <f t="array" ref="R246">N246*K246</f>
        <v>1398575.04</v>
      </c>
      <c r="S246" s="7">
        <f t="array" ref="S246">N246*K246*O246</f>
        <v>505025446.94400007</v>
      </c>
    </row>
    <row r="247" spans="1:19" ht="14.25" customHeight="1" x14ac:dyDescent="0.3">
      <c r="A247">
        <v>246</v>
      </c>
      <c r="B247" s="12">
        <v>45261</v>
      </c>
      <c r="C247" s="5">
        <v>2023</v>
      </c>
      <c r="D247" s="5" t="s">
        <v>33</v>
      </c>
      <c r="E247" s="5" t="s">
        <v>57</v>
      </c>
      <c r="F247" s="6" t="s">
        <v>20</v>
      </c>
      <c r="G247" s="6" t="s">
        <v>21</v>
      </c>
      <c r="H247" s="9" t="s">
        <v>28</v>
      </c>
      <c r="I247" s="9" t="s">
        <v>32</v>
      </c>
      <c r="J247" s="9" t="s">
        <v>49</v>
      </c>
      <c r="K247" s="7">
        <v>12.47</v>
      </c>
      <c r="L247" s="7">
        <v>9.9</v>
      </c>
      <c r="M247" s="8">
        <v>0.20599999999999999</v>
      </c>
      <c r="N247" s="10">
        <v>76987</v>
      </c>
      <c r="O247" s="7">
        <v>361.1</v>
      </c>
      <c r="P247" s="7">
        <f t="array" ref="P247">K247*O247</f>
        <v>4502.9170000000004</v>
      </c>
      <c r="Q247" s="7">
        <f t="array" ref="Q247">L247*O247</f>
        <v>3574.8900000000003</v>
      </c>
      <c r="R247" s="7">
        <f t="array" ref="R247">N247*K247</f>
        <v>960027.89</v>
      </c>
      <c r="S247" s="7">
        <f t="array" ref="S247">N247*K247*O247</f>
        <v>346666071.07900006</v>
      </c>
    </row>
    <row r="248" spans="1:19" ht="14.25" customHeight="1" x14ac:dyDescent="0.3">
      <c r="A248">
        <v>247</v>
      </c>
      <c r="B248" s="12">
        <v>45261</v>
      </c>
      <c r="C248" s="5">
        <v>2023</v>
      </c>
      <c r="D248" s="5" t="s">
        <v>33</v>
      </c>
      <c r="E248" s="5" t="s">
        <v>34</v>
      </c>
      <c r="F248" s="6" t="s">
        <v>47</v>
      </c>
      <c r="G248" s="6" t="s">
        <v>36</v>
      </c>
      <c r="H248" s="9" t="s">
        <v>23</v>
      </c>
      <c r="I248" s="9" t="s">
        <v>24</v>
      </c>
      <c r="J248" s="9" t="s">
        <v>22</v>
      </c>
      <c r="K248" s="7">
        <v>18.29</v>
      </c>
      <c r="L248" s="7">
        <v>10.46</v>
      </c>
      <c r="M248" s="8">
        <v>0.42799999999999999</v>
      </c>
      <c r="N248" s="10">
        <v>51456</v>
      </c>
      <c r="O248" s="7">
        <v>361.1</v>
      </c>
      <c r="P248" s="7">
        <f t="array" ref="P248">K248*O248</f>
        <v>6604.5190000000002</v>
      </c>
      <c r="Q248" s="7">
        <f t="array" ref="Q248">L248*O248</f>
        <v>3777.1060000000007</v>
      </c>
      <c r="R248" s="7">
        <f t="array" ref="R248">N248*K248</f>
        <v>941130.23999999999</v>
      </c>
      <c r="S248" s="7">
        <f t="array" ref="S248">N248*K248*O248</f>
        <v>339842129.66400003</v>
      </c>
    </row>
    <row r="249" spans="1:19" ht="14.25" customHeight="1" x14ac:dyDescent="0.3">
      <c r="A249">
        <v>248</v>
      </c>
      <c r="B249" s="12">
        <v>45261</v>
      </c>
      <c r="C249" s="5">
        <v>2023</v>
      </c>
      <c r="D249" s="5" t="s">
        <v>42</v>
      </c>
      <c r="E249" s="5" t="s">
        <v>68</v>
      </c>
      <c r="F249" s="6" t="s">
        <v>45</v>
      </c>
      <c r="G249" s="6" t="s">
        <v>36</v>
      </c>
      <c r="H249" s="9" t="s">
        <v>28</v>
      </c>
      <c r="I249" s="9" t="s">
        <v>46</v>
      </c>
      <c r="J249" s="9" t="s">
        <v>22</v>
      </c>
      <c r="K249" s="7">
        <v>15.26</v>
      </c>
      <c r="L249" s="7">
        <v>11.34</v>
      </c>
      <c r="M249" s="8">
        <v>0.25700000000000001</v>
      </c>
      <c r="N249" s="10">
        <v>56264</v>
      </c>
      <c r="O249" s="7">
        <v>361.1</v>
      </c>
      <c r="P249" s="7">
        <f t="array" ref="P249">K249*O249</f>
        <v>5510.3860000000004</v>
      </c>
      <c r="Q249" s="7">
        <f t="array" ref="Q249">L249*O249</f>
        <v>4094.8740000000003</v>
      </c>
      <c r="R249" s="7">
        <f t="array" ref="R249">N249*K249</f>
        <v>858588.64</v>
      </c>
      <c r="S249" s="7">
        <f t="array" ref="S249">N249*K249*O249</f>
        <v>310036357.90400004</v>
      </c>
    </row>
    <row r="250" spans="1:19" ht="14.25" customHeight="1" x14ac:dyDescent="0.3">
      <c r="A250">
        <v>249</v>
      </c>
      <c r="B250" s="12">
        <v>45261</v>
      </c>
      <c r="C250" s="5">
        <v>2023</v>
      </c>
      <c r="D250" s="5" t="s">
        <v>18</v>
      </c>
      <c r="E250" s="5" t="s">
        <v>61</v>
      </c>
      <c r="F250" s="6" t="s">
        <v>55</v>
      </c>
      <c r="G250" s="6" t="s">
        <v>21</v>
      </c>
      <c r="H250" s="9" t="s">
        <v>23</v>
      </c>
      <c r="I250" s="9" t="s">
        <v>46</v>
      </c>
      <c r="J250" s="9" t="s">
        <v>31</v>
      </c>
      <c r="K250" s="7">
        <v>8.01</v>
      </c>
      <c r="L250" s="7">
        <v>5.34</v>
      </c>
      <c r="M250" s="8">
        <v>0.33300000000000002</v>
      </c>
      <c r="N250" s="10">
        <v>292323</v>
      </c>
      <c r="O250" s="7">
        <v>361.1</v>
      </c>
      <c r="P250" s="7">
        <f t="array" ref="P250">K250*O250</f>
        <v>2892.4110000000001</v>
      </c>
      <c r="Q250" s="7">
        <f t="array" ref="Q250">L250*O250</f>
        <v>1928.2740000000001</v>
      </c>
      <c r="R250" s="7">
        <f t="array" ref="R250">N250*K250</f>
        <v>2341507.23</v>
      </c>
      <c r="S250" s="7">
        <f t="array" ref="S250">N250*K250*O250</f>
        <v>845518260.75300002</v>
      </c>
    </row>
    <row r="251" spans="1:19" ht="14.25" customHeight="1" x14ac:dyDescent="0.3">
      <c r="A251">
        <v>250</v>
      </c>
      <c r="B251" s="12">
        <v>45261</v>
      </c>
      <c r="C251" s="5">
        <v>2023</v>
      </c>
      <c r="D251" s="5" t="s">
        <v>25</v>
      </c>
      <c r="E251" s="5" t="s">
        <v>70</v>
      </c>
      <c r="F251" s="6" t="s">
        <v>30</v>
      </c>
      <c r="G251" s="6" t="s">
        <v>36</v>
      </c>
      <c r="H251" s="9" t="s">
        <v>23</v>
      </c>
      <c r="I251" s="9" t="s">
        <v>29</v>
      </c>
      <c r="J251" s="9" t="s">
        <v>31</v>
      </c>
      <c r="K251" s="7">
        <v>14.39</v>
      </c>
      <c r="L251" s="7">
        <v>8.26</v>
      </c>
      <c r="M251" s="8">
        <v>0.42599999999999999</v>
      </c>
      <c r="N251" s="10">
        <v>67957</v>
      </c>
      <c r="O251" s="7">
        <v>361.1</v>
      </c>
      <c r="P251" s="7">
        <f t="array" ref="P251">K251*O251</f>
        <v>5196.2290000000003</v>
      </c>
      <c r="Q251" s="7">
        <f t="array" ref="Q251">L251*O251</f>
        <v>2982.6860000000001</v>
      </c>
      <c r="R251" s="7">
        <f t="array" ref="R251">N251*K251</f>
        <v>977901.23</v>
      </c>
      <c r="S251" s="7">
        <f t="array" ref="S251">N251*K251*O251</f>
        <v>353120134.153</v>
      </c>
    </row>
    <row r="252" spans="1:19" ht="14.25" customHeight="1" x14ac:dyDescent="0.3">
      <c r="A252">
        <v>251</v>
      </c>
      <c r="B252" s="12">
        <v>45261</v>
      </c>
      <c r="C252" s="5">
        <v>2023</v>
      </c>
      <c r="D252" s="5" t="s">
        <v>33</v>
      </c>
      <c r="E252" s="5" t="s">
        <v>57</v>
      </c>
      <c r="F252" s="6" t="s">
        <v>47</v>
      </c>
      <c r="G252" s="6" t="s">
        <v>21</v>
      </c>
      <c r="H252" s="9" t="s">
        <v>38</v>
      </c>
      <c r="I252" s="9" t="s">
        <v>46</v>
      </c>
      <c r="J252" s="9" t="s">
        <v>31</v>
      </c>
      <c r="K252" s="7">
        <v>15.2</v>
      </c>
      <c r="L252" s="7">
        <v>11.72</v>
      </c>
      <c r="M252" s="8">
        <v>0.22900000000000001</v>
      </c>
      <c r="N252" s="10">
        <v>115572</v>
      </c>
      <c r="O252" s="7">
        <v>361.1</v>
      </c>
      <c r="P252" s="7">
        <f t="array" ref="P252">K252*O252</f>
        <v>5488.72</v>
      </c>
      <c r="Q252" s="7">
        <f t="array" ref="Q252">L252*O252</f>
        <v>4232.0920000000006</v>
      </c>
      <c r="R252" s="7">
        <f t="array" ref="R252">N252*K252</f>
        <v>1756694.4</v>
      </c>
      <c r="S252" s="7">
        <f t="array" ref="S252">N252*K252*O252</f>
        <v>634342347.84000003</v>
      </c>
    </row>
    <row r="253" spans="1:19" ht="14.25" customHeight="1" x14ac:dyDescent="0.3">
      <c r="A253">
        <v>252</v>
      </c>
      <c r="B253" s="12">
        <v>45261</v>
      </c>
      <c r="C253" s="5">
        <v>2023</v>
      </c>
      <c r="D253" s="5" t="s">
        <v>25</v>
      </c>
      <c r="E253" s="5" t="s">
        <v>70</v>
      </c>
      <c r="F253" s="6" t="s">
        <v>63</v>
      </c>
      <c r="G253" s="6" t="s">
        <v>21</v>
      </c>
      <c r="H253" s="9" t="s">
        <v>38</v>
      </c>
      <c r="I253" s="9" t="s">
        <v>29</v>
      </c>
      <c r="J253" s="9" t="s">
        <v>31</v>
      </c>
      <c r="K253" s="7">
        <v>16.809999999999999</v>
      </c>
      <c r="L253" s="7">
        <v>13.29</v>
      </c>
      <c r="M253" s="8">
        <v>0.20899999999999999</v>
      </c>
      <c r="N253" s="10">
        <v>249778</v>
      </c>
      <c r="O253" s="7">
        <v>361.1</v>
      </c>
      <c r="P253" s="7">
        <f t="array" ref="P253">K253*O253</f>
        <v>6070.0910000000003</v>
      </c>
      <c r="Q253" s="7">
        <f t="array" ref="Q253">L253*O253</f>
        <v>4799.0190000000002</v>
      </c>
      <c r="R253" s="7">
        <f t="array" ref="R253">N253*K253</f>
        <v>4198768.18</v>
      </c>
      <c r="S253" s="7">
        <f t="array" ref="S253">N253*K253*O253</f>
        <v>1516175189.7980001</v>
      </c>
    </row>
    <row r="254" spans="1:19" ht="14.25" customHeight="1" x14ac:dyDescent="0.3">
      <c r="A254">
        <v>253</v>
      </c>
      <c r="B254" s="12">
        <v>45261</v>
      </c>
      <c r="C254" s="5">
        <v>2023</v>
      </c>
      <c r="D254" s="5" t="s">
        <v>25</v>
      </c>
      <c r="E254" s="5" t="s">
        <v>53</v>
      </c>
      <c r="F254" s="6" t="s">
        <v>27</v>
      </c>
      <c r="G254" s="6" t="s">
        <v>36</v>
      </c>
      <c r="H254" s="9" t="s">
        <v>38</v>
      </c>
      <c r="I254" s="9" t="s">
        <v>29</v>
      </c>
      <c r="J254" s="9" t="s">
        <v>49</v>
      </c>
      <c r="K254" s="7">
        <v>10.210000000000001</v>
      </c>
      <c r="L254" s="7">
        <v>5.17</v>
      </c>
      <c r="M254" s="8">
        <v>0.49399999999999999</v>
      </c>
      <c r="N254" s="10">
        <v>227433</v>
      </c>
      <c r="O254" s="7">
        <v>361.1</v>
      </c>
      <c r="P254" s="7">
        <f t="array" ref="P254">K254*O254</f>
        <v>3686.8310000000006</v>
      </c>
      <c r="Q254" s="7">
        <f t="array" ref="Q254">L254*O254</f>
        <v>1866.8870000000002</v>
      </c>
      <c r="R254" s="7">
        <f t="array" ref="R254">N254*K254</f>
        <v>2322090.9300000002</v>
      </c>
      <c r="S254" s="7">
        <f t="array" ref="S254">N254*K254*O254</f>
        <v>838507034.82300007</v>
      </c>
    </row>
    <row r="255" spans="1:19" ht="14.25" customHeight="1" x14ac:dyDescent="0.3">
      <c r="A255">
        <v>254</v>
      </c>
      <c r="B255" s="12">
        <v>45261</v>
      </c>
      <c r="C255" s="5">
        <v>2023</v>
      </c>
      <c r="D255" s="5" t="s">
        <v>33</v>
      </c>
      <c r="E255" s="5" t="s">
        <v>57</v>
      </c>
      <c r="F255" s="6" t="s">
        <v>20</v>
      </c>
      <c r="G255" s="6" t="s">
        <v>36</v>
      </c>
      <c r="H255" s="9" t="s">
        <v>23</v>
      </c>
      <c r="I255" s="9" t="s">
        <v>24</v>
      </c>
      <c r="J255" s="9" t="s">
        <v>49</v>
      </c>
      <c r="K255" s="7">
        <v>14.34</v>
      </c>
      <c r="L255" s="7">
        <v>7.85</v>
      </c>
      <c r="M255" s="8">
        <v>0.45300000000000001</v>
      </c>
      <c r="N255" s="10">
        <v>65183</v>
      </c>
      <c r="O255" s="7">
        <v>361.1</v>
      </c>
      <c r="P255" s="7">
        <f t="array" ref="P255">K255*O255</f>
        <v>5178.174</v>
      </c>
      <c r="Q255" s="7">
        <f t="array" ref="Q255">L255*O255</f>
        <v>2834.6350000000002</v>
      </c>
      <c r="R255" s="7">
        <f t="array" ref="R255">N255*K255</f>
        <v>934724.22</v>
      </c>
      <c r="S255" s="7">
        <f t="array" ref="S255">N255*K255*O255</f>
        <v>337528915.84200001</v>
      </c>
    </row>
    <row r="256" spans="1:19" ht="14.25" customHeight="1" x14ac:dyDescent="0.3">
      <c r="A256">
        <v>255</v>
      </c>
      <c r="B256" s="12">
        <v>45261</v>
      </c>
      <c r="C256" s="5">
        <v>2023</v>
      </c>
      <c r="D256" s="5" t="s">
        <v>33</v>
      </c>
      <c r="E256" s="5" t="s">
        <v>34</v>
      </c>
      <c r="F256" s="6" t="s">
        <v>47</v>
      </c>
      <c r="G256" s="6" t="s">
        <v>21</v>
      </c>
      <c r="H256" s="9" t="s">
        <v>23</v>
      </c>
      <c r="I256" s="9" t="s">
        <v>24</v>
      </c>
      <c r="J256" s="9" t="s">
        <v>31</v>
      </c>
      <c r="K256" s="7">
        <v>16.23</v>
      </c>
      <c r="L256" s="7">
        <v>9.84</v>
      </c>
      <c r="M256" s="8">
        <v>0.39400000000000002</v>
      </c>
      <c r="N256" s="10">
        <v>294357</v>
      </c>
      <c r="O256" s="7">
        <v>361.1</v>
      </c>
      <c r="P256" s="7">
        <f t="array" ref="P256">K256*O256</f>
        <v>5860.6530000000002</v>
      </c>
      <c r="Q256" s="7">
        <f t="array" ref="Q256">L256*O256</f>
        <v>3553.2240000000002</v>
      </c>
      <c r="R256" s="7">
        <f t="array" ref="R256">N256*K256</f>
        <v>4777414.1100000003</v>
      </c>
      <c r="S256" s="7">
        <f t="array" ref="S256">N256*K256*O256</f>
        <v>1725124235.1210003</v>
      </c>
    </row>
    <row r="257" spans="1:19" ht="14.25" customHeight="1" x14ac:dyDescent="0.3">
      <c r="A257">
        <v>256</v>
      </c>
      <c r="B257" s="12">
        <v>45261</v>
      </c>
      <c r="C257" s="5">
        <v>2023</v>
      </c>
      <c r="D257" s="5" t="s">
        <v>50</v>
      </c>
      <c r="E257" s="5" t="s">
        <v>67</v>
      </c>
      <c r="F257" s="6" t="s">
        <v>62</v>
      </c>
      <c r="G257" s="6" t="s">
        <v>36</v>
      </c>
      <c r="H257" s="9" t="s">
        <v>23</v>
      </c>
      <c r="I257" s="9" t="s">
        <v>29</v>
      </c>
      <c r="J257" s="9" t="s">
        <v>22</v>
      </c>
      <c r="K257" s="7">
        <v>12.4</v>
      </c>
      <c r="L257" s="7">
        <v>7.75</v>
      </c>
      <c r="M257" s="8">
        <v>0.375</v>
      </c>
      <c r="N257" s="10">
        <v>214239</v>
      </c>
      <c r="O257" s="7">
        <v>361.1</v>
      </c>
      <c r="P257" s="7">
        <f t="array" ref="P257">K257*O257</f>
        <v>4477.6400000000003</v>
      </c>
      <c r="Q257" s="7">
        <f t="array" ref="Q257">L257*O257</f>
        <v>2798.5250000000001</v>
      </c>
      <c r="R257" s="7">
        <f t="array" ref="R257">N257*K257</f>
        <v>2656563.6</v>
      </c>
      <c r="S257" s="7">
        <f t="array" ref="S257">N257*K257*O257</f>
        <v>959285115.96000004</v>
      </c>
    </row>
    <row r="258" spans="1:19" ht="14.25" customHeight="1" x14ac:dyDescent="0.3">
      <c r="A258">
        <v>257</v>
      </c>
      <c r="B258" s="12">
        <v>45261</v>
      </c>
      <c r="C258" s="5">
        <v>2023</v>
      </c>
      <c r="D258" s="5" t="s">
        <v>50</v>
      </c>
      <c r="E258" s="5" t="s">
        <v>67</v>
      </c>
      <c r="F258" s="6" t="s">
        <v>52</v>
      </c>
      <c r="G258" s="6" t="s">
        <v>21</v>
      </c>
      <c r="H258" s="9" t="s">
        <v>38</v>
      </c>
      <c r="I258" s="9" t="s">
        <v>32</v>
      </c>
      <c r="J258" s="9" t="s">
        <v>49</v>
      </c>
      <c r="K258" s="7">
        <v>15.27</v>
      </c>
      <c r="L258" s="7">
        <v>8.25</v>
      </c>
      <c r="M258" s="8">
        <v>0.46</v>
      </c>
      <c r="N258" s="10">
        <v>230946</v>
      </c>
      <c r="O258" s="7">
        <v>361.1</v>
      </c>
      <c r="P258" s="7">
        <f t="array" ref="P258">K258*O258</f>
        <v>5513.9970000000003</v>
      </c>
      <c r="Q258" s="7">
        <f t="array" ref="Q258">L258*O258</f>
        <v>2979.0750000000003</v>
      </c>
      <c r="R258" s="7">
        <f t="array" ref="R258">N258*K258</f>
        <v>3526545.42</v>
      </c>
      <c r="S258" s="7">
        <f t="array" ref="S258">N258*K258*O258</f>
        <v>1273435551.1619999</v>
      </c>
    </row>
    <row r="259" spans="1:19" ht="14.25" customHeight="1" x14ac:dyDescent="0.3">
      <c r="A259">
        <v>258</v>
      </c>
      <c r="B259" s="12">
        <v>45261</v>
      </c>
      <c r="C259" s="5">
        <v>2023</v>
      </c>
      <c r="D259" s="5" t="s">
        <v>39</v>
      </c>
      <c r="E259" s="5" t="s">
        <v>40</v>
      </c>
      <c r="F259" s="6" t="s">
        <v>41</v>
      </c>
      <c r="G259" s="6" t="s">
        <v>21</v>
      </c>
      <c r="H259" s="9" t="s">
        <v>23</v>
      </c>
      <c r="I259" s="9" t="s">
        <v>32</v>
      </c>
      <c r="J259" s="9" t="s">
        <v>31</v>
      </c>
      <c r="K259" s="7">
        <v>11.05</v>
      </c>
      <c r="L259" s="7">
        <v>8.1199999999999992</v>
      </c>
      <c r="M259" s="8">
        <v>0.26500000000000001</v>
      </c>
      <c r="N259" s="10">
        <v>188256</v>
      </c>
      <c r="O259" s="7">
        <v>361.1</v>
      </c>
      <c r="P259" s="7">
        <f t="array" ref="P259">K259*O259</f>
        <v>3990.1550000000007</v>
      </c>
      <c r="Q259" s="7">
        <f t="array" ref="Q259">L259*O259</f>
        <v>2932.1320000000001</v>
      </c>
      <c r="R259" s="7">
        <f t="array" ref="R259">N259*K259</f>
        <v>2080228.8</v>
      </c>
      <c r="S259" s="7">
        <f t="array" ref="S259">N259*K259*O259</f>
        <v>751170619.68000007</v>
      </c>
    </row>
    <row r="260" spans="1:19" ht="14.25" customHeight="1" x14ac:dyDescent="0.3">
      <c r="A260">
        <v>259</v>
      </c>
      <c r="B260" s="12">
        <v>45261</v>
      </c>
      <c r="C260" s="5">
        <v>2023</v>
      </c>
      <c r="D260" s="5" t="s">
        <v>42</v>
      </c>
      <c r="E260" s="5" t="s">
        <v>66</v>
      </c>
      <c r="F260" s="6" t="s">
        <v>45</v>
      </c>
      <c r="G260" s="6" t="s">
        <v>64</v>
      </c>
      <c r="H260" s="9" t="s">
        <v>23</v>
      </c>
      <c r="I260" s="9" t="s">
        <v>24</v>
      </c>
      <c r="J260" s="9" t="s">
        <v>49</v>
      </c>
      <c r="K260" s="7">
        <v>8.01</v>
      </c>
      <c r="L260" s="7">
        <v>5.3</v>
      </c>
      <c r="M260" s="8">
        <v>0.33800000000000002</v>
      </c>
      <c r="N260" s="10">
        <v>242737</v>
      </c>
      <c r="O260" s="7">
        <v>361.1</v>
      </c>
      <c r="P260" s="7">
        <f t="array" ref="P260">K260*O260</f>
        <v>2892.4110000000001</v>
      </c>
      <c r="Q260" s="7">
        <f t="array" ref="Q260">L260*O260</f>
        <v>1913.8300000000002</v>
      </c>
      <c r="R260" s="7">
        <f t="array" ref="R260">N260*K260</f>
        <v>1944323.3699999999</v>
      </c>
      <c r="S260" s="7">
        <f t="array" ref="S260">N260*K260*O260</f>
        <v>702095168.90699995</v>
      </c>
    </row>
    <row r="261" spans="1:19" ht="14.25" customHeight="1" x14ac:dyDescent="0.3">
      <c r="A261">
        <v>260</v>
      </c>
      <c r="B261" s="12">
        <v>45292</v>
      </c>
      <c r="C261" s="5">
        <v>2024</v>
      </c>
      <c r="D261" s="5" t="s">
        <v>33</v>
      </c>
      <c r="E261" s="5" t="s">
        <v>37</v>
      </c>
      <c r="F261" s="6" t="s">
        <v>20</v>
      </c>
      <c r="G261" s="6" t="s">
        <v>36</v>
      </c>
      <c r="H261" s="9" t="s">
        <v>38</v>
      </c>
      <c r="I261" s="9" t="s">
        <v>24</v>
      </c>
      <c r="J261" s="9" t="s">
        <v>22</v>
      </c>
      <c r="K261" s="7">
        <v>9.5399999999999991</v>
      </c>
      <c r="L261" s="7">
        <v>6.19</v>
      </c>
      <c r="M261" s="8">
        <v>0.35099999999999998</v>
      </c>
      <c r="N261" s="10">
        <v>126496</v>
      </c>
      <c r="O261" s="7">
        <v>810.05</v>
      </c>
      <c r="P261" s="7">
        <f t="array" ref="P261">K261*O261</f>
        <v>7727.8769999999986</v>
      </c>
      <c r="Q261" s="7">
        <f t="array" ref="Q261">L261*O261</f>
        <v>5014.2094999999999</v>
      </c>
      <c r="R261" s="7">
        <f t="array" ref="R261">N261*K261</f>
        <v>1206771.8399999999</v>
      </c>
      <c r="S261" s="7">
        <f t="array" ref="S261">N261*K261*O261</f>
        <v>977545528.99199986</v>
      </c>
    </row>
    <row r="262" spans="1:19" ht="14.25" customHeight="1" x14ac:dyDescent="0.3">
      <c r="A262">
        <v>261</v>
      </c>
      <c r="B262" s="12">
        <v>45292</v>
      </c>
      <c r="C262" s="5">
        <v>2024</v>
      </c>
      <c r="D262" s="5" t="s">
        <v>50</v>
      </c>
      <c r="E262" s="5" t="s">
        <v>51</v>
      </c>
      <c r="F262" s="6" t="s">
        <v>56</v>
      </c>
      <c r="G262" s="6" t="s">
        <v>21</v>
      </c>
      <c r="H262" s="9" t="s">
        <v>28</v>
      </c>
      <c r="I262" s="9" t="s">
        <v>32</v>
      </c>
      <c r="J262" s="9" t="s">
        <v>22</v>
      </c>
      <c r="K262" s="7">
        <v>6.67</v>
      </c>
      <c r="L262" s="7">
        <v>4.3499999999999996</v>
      </c>
      <c r="M262" s="8">
        <v>0.34799999999999998</v>
      </c>
      <c r="N262" s="10">
        <v>137470</v>
      </c>
      <c r="O262" s="7">
        <v>810.05</v>
      </c>
      <c r="P262" s="7">
        <f t="array" ref="P262">K262*O262</f>
        <v>5403.0334999999995</v>
      </c>
      <c r="Q262" s="7">
        <f t="array" ref="Q262">L262*O262</f>
        <v>3523.7174999999993</v>
      </c>
      <c r="R262" s="7">
        <f t="array" ref="R262">N262*K262</f>
        <v>916924.9</v>
      </c>
      <c r="S262" s="7">
        <f t="array" ref="S262">N262*K262*O262</f>
        <v>742755015.245</v>
      </c>
    </row>
    <row r="263" spans="1:19" ht="14.25" customHeight="1" x14ac:dyDescent="0.3">
      <c r="A263">
        <v>262</v>
      </c>
      <c r="B263" s="12">
        <v>45292</v>
      </c>
      <c r="C263" s="5">
        <v>2024</v>
      </c>
      <c r="D263" s="5" t="s">
        <v>42</v>
      </c>
      <c r="E263" s="5" t="s">
        <v>66</v>
      </c>
      <c r="F263" s="6" t="s">
        <v>44</v>
      </c>
      <c r="G263" s="6" t="s">
        <v>36</v>
      </c>
      <c r="H263" s="9" t="s">
        <v>23</v>
      </c>
      <c r="I263" s="9" t="s">
        <v>32</v>
      </c>
      <c r="J263" s="9" t="s">
        <v>49</v>
      </c>
      <c r="K263" s="7">
        <v>12.43</v>
      </c>
      <c r="L263" s="7">
        <v>9.3000000000000007</v>
      </c>
      <c r="M263" s="8">
        <v>0.252</v>
      </c>
      <c r="N263" s="10">
        <v>102006</v>
      </c>
      <c r="O263" s="7">
        <v>810.05</v>
      </c>
      <c r="P263" s="7">
        <f t="array" ref="P263">K263*O263</f>
        <v>10068.921499999999</v>
      </c>
      <c r="Q263" s="7">
        <f t="array" ref="Q263">L263*O263</f>
        <v>7533.4650000000001</v>
      </c>
      <c r="R263" s="7">
        <f t="array" ref="R263">N263*K263</f>
        <v>1267934.58</v>
      </c>
      <c r="S263" s="7">
        <f t="array" ref="S263">N263*K263*O263</f>
        <v>1027090406.529</v>
      </c>
    </row>
    <row r="264" spans="1:19" ht="14.25" customHeight="1" x14ac:dyDescent="0.3">
      <c r="A264">
        <v>263</v>
      </c>
      <c r="B264" s="12">
        <v>45292</v>
      </c>
      <c r="C264" s="5">
        <v>2024</v>
      </c>
      <c r="D264" s="5" t="s">
        <v>50</v>
      </c>
      <c r="E264" s="5" t="s">
        <v>51</v>
      </c>
      <c r="F264" s="6" t="s">
        <v>52</v>
      </c>
      <c r="G264" s="6" t="s">
        <v>36</v>
      </c>
      <c r="H264" s="9" t="s">
        <v>38</v>
      </c>
      <c r="I264" s="9" t="s">
        <v>46</v>
      </c>
      <c r="J264" s="9" t="s">
        <v>31</v>
      </c>
      <c r="K264" s="7">
        <v>6.72</v>
      </c>
      <c r="L264" s="7">
        <v>3.47</v>
      </c>
      <c r="M264" s="8">
        <v>0.48399999999999999</v>
      </c>
      <c r="N264" s="10">
        <v>92655</v>
      </c>
      <c r="O264" s="7">
        <v>810.05</v>
      </c>
      <c r="P264" s="7">
        <f t="array" ref="P264">K264*O264</f>
        <v>5443.5359999999991</v>
      </c>
      <c r="Q264" s="7">
        <f t="array" ref="Q264">L264*O264</f>
        <v>2810.8735000000001</v>
      </c>
      <c r="R264" s="7">
        <f t="array" ref="R264">N264*K264</f>
        <v>622641.6</v>
      </c>
      <c r="S264" s="7">
        <f t="array" ref="S264">N264*K264*O264</f>
        <v>504370828.07999992</v>
      </c>
    </row>
    <row r="265" spans="1:19" ht="14.25" customHeight="1" x14ac:dyDescent="0.3">
      <c r="A265">
        <v>264</v>
      </c>
      <c r="B265" s="12">
        <v>45292</v>
      </c>
      <c r="C265" s="5">
        <v>2024</v>
      </c>
      <c r="D265" s="5" t="s">
        <v>50</v>
      </c>
      <c r="E265" s="5" t="s">
        <v>51</v>
      </c>
      <c r="F265" s="6" t="s">
        <v>52</v>
      </c>
      <c r="G265" s="6" t="s">
        <v>36</v>
      </c>
      <c r="H265" s="9" t="s">
        <v>28</v>
      </c>
      <c r="I265" s="9" t="s">
        <v>29</v>
      </c>
      <c r="J265" s="9" t="s">
        <v>31</v>
      </c>
      <c r="K265" s="7">
        <v>16.96</v>
      </c>
      <c r="L265" s="7">
        <v>12.84</v>
      </c>
      <c r="M265" s="8">
        <v>0.24299999999999999</v>
      </c>
      <c r="N265" s="10">
        <v>66625</v>
      </c>
      <c r="O265" s="7">
        <v>810.05</v>
      </c>
      <c r="P265" s="7">
        <f t="array" ref="P265">K265*O265</f>
        <v>13738.448</v>
      </c>
      <c r="Q265" s="7">
        <f t="array" ref="Q265">L265*O265</f>
        <v>10401.041999999999</v>
      </c>
      <c r="R265" s="7">
        <f t="array" ref="R265">N265*K265</f>
        <v>1129960</v>
      </c>
      <c r="S265" s="7">
        <f t="array" ref="S265">N265*K265*O265</f>
        <v>915324098</v>
      </c>
    </row>
    <row r="266" spans="1:19" ht="14.25" customHeight="1" x14ac:dyDescent="0.3">
      <c r="A266">
        <v>265</v>
      </c>
      <c r="B266" s="12">
        <v>45292</v>
      </c>
      <c r="C266" s="5">
        <v>2024</v>
      </c>
      <c r="D266" s="5" t="s">
        <v>18</v>
      </c>
      <c r="E266" s="5" t="s">
        <v>19</v>
      </c>
      <c r="F266" s="6" t="s">
        <v>55</v>
      </c>
      <c r="G266" s="6" t="s">
        <v>21</v>
      </c>
      <c r="H266" s="9" t="s">
        <v>23</v>
      </c>
      <c r="I266" s="9" t="s">
        <v>32</v>
      </c>
      <c r="J266" s="9" t="s">
        <v>31</v>
      </c>
      <c r="K266" s="7">
        <v>12.48</v>
      </c>
      <c r="L266" s="7">
        <v>7.94</v>
      </c>
      <c r="M266" s="8">
        <v>0.36399999999999999</v>
      </c>
      <c r="N266" s="10">
        <v>136318</v>
      </c>
      <c r="O266" s="7">
        <v>810.05</v>
      </c>
      <c r="P266" s="7">
        <f t="array" ref="P266">K266*O266</f>
        <v>10109.423999999999</v>
      </c>
      <c r="Q266" s="7">
        <f t="array" ref="Q266">L266*O266</f>
        <v>6431.7969999999996</v>
      </c>
      <c r="R266" s="7">
        <f t="array" ref="R266">N266*K266</f>
        <v>1701248.6400000001</v>
      </c>
      <c r="S266" s="7">
        <f t="array" ref="S266">N266*K266*O266</f>
        <v>1378096460.832</v>
      </c>
    </row>
    <row r="267" spans="1:19" ht="14.25" customHeight="1" x14ac:dyDescent="0.3">
      <c r="A267">
        <v>266</v>
      </c>
      <c r="B267" s="12">
        <v>45292</v>
      </c>
      <c r="C267" s="5">
        <v>2024</v>
      </c>
      <c r="D267" s="5" t="s">
        <v>33</v>
      </c>
      <c r="E267" s="5" t="s">
        <v>34</v>
      </c>
      <c r="F267" s="6" t="s">
        <v>35</v>
      </c>
      <c r="G267" s="6" t="s">
        <v>36</v>
      </c>
      <c r="H267" s="9" t="s">
        <v>23</v>
      </c>
      <c r="I267" s="9" t="s">
        <v>46</v>
      </c>
      <c r="J267" s="9" t="s">
        <v>49</v>
      </c>
      <c r="K267" s="7">
        <v>18.61</v>
      </c>
      <c r="L267" s="7">
        <v>13.9</v>
      </c>
      <c r="M267" s="8">
        <v>0.253</v>
      </c>
      <c r="N267" s="10">
        <v>135076</v>
      </c>
      <c r="O267" s="7">
        <v>810.05</v>
      </c>
      <c r="P267" s="7">
        <f t="array" ref="P267">K267*O267</f>
        <v>15075.030499999999</v>
      </c>
      <c r="Q267" s="7">
        <f t="array" ref="Q267">L267*O267</f>
        <v>11259.695</v>
      </c>
      <c r="R267" s="7">
        <f t="array" ref="R267">N267*K267</f>
        <v>2513764.36</v>
      </c>
      <c r="S267" s="7">
        <f t="array" ref="S267">N267*K267*O267</f>
        <v>2036274819.8179998</v>
      </c>
    </row>
    <row r="268" spans="1:19" ht="14.25" customHeight="1" x14ac:dyDescent="0.3">
      <c r="A268">
        <v>267</v>
      </c>
      <c r="B268" s="12">
        <v>45292</v>
      </c>
      <c r="C268" s="5">
        <v>2024</v>
      </c>
      <c r="D268" s="5" t="s">
        <v>18</v>
      </c>
      <c r="E268" s="5" t="s">
        <v>19</v>
      </c>
      <c r="F268" s="6" t="s">
        <v>20</v>
      </c>
      <c r="G268" s="6" t="s">
        <v>36</v>
      </c>
      <c r="H268" s="9" t="s">
        <v>23</v>
      </c>
      <c r="I268" s="9" t="s">
        <v>32</v>
      </c>
      <c r="J268" s="9" t="s">
        <v>22</v>
      </c>
      <c r="K268" s="7">
        <v>14.65</v>
      </c>
      <c r="L268" s="7">
        <v>8.3699999999999992</v>
      </c>
      <c r="M268" s="8">
        <v>0.42899999999999999</v>
      </c>
      <c r="N268" s="10">
        <v>110737</v>
      </c>
      <c r="O268" s="7">
        <v>810.05</v>
      </c>
      <c r="P268" s="7">
        <f t="array" ref="P268">K268*O268</f>
        <v>11867.2325</v>
      </c>
      <c r="Q268" s="7">
        <f t="array" ref="Q268">L268*O268</f>
        <v>6780.1184999999987</v>
      </c>
      <c r="R268" s="7">
        <f t="array" ref="R268">N268*K268</f>
        <v>1622297.05</v>
      </c>
      <c r="S268" s="7">
        <f t="array" ref="S268">N268*K268*O268</f>
        <v>1314141725.3525</v>
      </c>
    </row>
    <row r="269" spans="1:19" ht="14.25" customHeight="1" x14ac:dyDescent="0.3">
      <c r="A269">
        <v>268</v>
      </c>
      <c r="B269" s="12">
        <v>45292</v>
      </c>
      <c r="C269" s="5">
        <v>2024</v>
      </c>
      <c r="D269" s="5" t="s">
        <v>25</v>
      </c>
      <c r="E269" s="5" t="s">
        <v>26</v>
      </c>
      <c r="F269" s="6" t="s">
        <v>30</v>
      </c>
      <c r="G269" s="6" t="s">
        <v>21</v>
      </c>
      <c r="H269" s="9" t="s">
        <v>28</v>
      </c>
      <c r="I269" s="9" t="s">
        <v>29</v>
      </c>
      <c r="J269" s="9" t="s">
        <v>31</v>
      </c>
      <c r="K269" s="7">
        <v>16.32</v>
      </c>
      <c r="L269" s="7">
        <v>8.51</v>
      </c>
      <c r="M269" s="8">
        <v>0.47899999999999998</v>
      </c>
      <c r="N269" s="10">
        <v>52603</v>
      </c>
      <c r="O269" s="7">
        <v>810.05</v>
      </c>
      <c r="P269" s="7">
        <f t="array" ref="P269">K269*O269</f>
        <v>13220.016</v>
      </c>
      <c r="Q269" s="7">
        <f t="array" ref="Q269">L269*O269</f>
        <v>6893.5254999999997</v>
      </c>
      <c r="R269" s="7">
        <f t="array" ref="R269">N269*K269</f>
        <v>858480.96</v>
      </c>
      <c r="S269" s="7">
        <f t="array" ref="S269">N269*K269*O269</f>
        <v>695412501.64799988</v>
      </c>
    </row>
    <row r="270" spans="1:19" ht="14.25" customHeight="1" x14ac:dyDescent="0.3">
      <c r="A270">
        <v>269</v>
      </c>
      <c r="B270" s="12">
        <v>45292</v>
      </c>
      <c r="C270" s="5">
        <v>2024</v>
      </c>
      <c r="D270" s="5" t="s">
        <v>39</v>
      </c>
      <c r="E270" s="5" t="s">
        <v>58</v>
      </c>
      <c r="F270" s="6" t="s">
        <v>48</v>
      </c>
      <c r="G270" s="6" t="s">
        <v>21</v>
      </c>
      <c r="H270" s="9" t="s">
        <v>28</v>
      </c>
      <c r="I270" s="9" t="s">
        <v>29</v>
      </c>
      <c r="J270" s="9" t="s">
        <v>49</v>
      </c>
      <c r="K270" s="7">
        <v>18.899999999999999</v>
      </c>
      <c r="L270" s="7">
        <v>14.96</v>
      </c>
      <c r="M270" s="8">
        <v>0.20799999999999999</v>
      </c>
      <c r="N270" s="10">
        <v>164170</v>
      </c>
      <c r="O270" s="7">
        <v>810.05</v>
      </c>
      <c r="P270" s="7">
        <f t="array" ref="P270">K270*O270</f>
        <v>15309.944999999998</v>
      </c>
      <c r="Q270" s="7">
        <f t="array" ref="Q270">L270*O270</f>
        <v>12118.348</v>
      </c>
      <c r="R270" s="7">
        <f t="array" ref="R270">N270*K270</f>
        <v>3102812.9999999995</v>
      </c>
      <c r="S270" s="7">
        <f t="array" ref="S270">N270*K270*O270</f>
        <v>2513433670.6499996</v>
      </c>
    </row>
    <row r="271" spans="1:19" ht="14.25" customHeight="1" x14ac:dyDescent="0.3">
      <c r="A271">
        <v>270</v>
      </c>
      <c r="B271" s="12">
        <v>45292</v>
      </c>
      <c r="C271" s="5">
        <v>2024</v>
      </c>
      <c r="D271" s="5" t="s">
        <v>50</v>
      </c>
      <c r="E271" s="5" t="s">
        <v>60</v>
      </c>
      <c r="F271" s="6" t="s">
        <v>56</v>
      </c>
      <c r="G271" s="6" t="s">
        <v>64</v>
      </c>
      <c r="H271" s="9" t="s">
        <v>38</v>
      </c>
      <c r="I271" s="9" t="s">
        <v>29</v>
      </c>
      <c r="J271" s="9" t="s">
        <v>31</v>
      </c>
      <c r="K271" s="7">
        <v>11.35</v>
      </c>
      <c r="L271" s="7">
        <v>7.01</v>
      </c>
      <c r="M271" s="8">
        <v>0.38200000000000001</v>
      </c>
      <c r="N271" s="10">
        <v>78959</v>
      </c>
      <c r="O271" s="7">
        <v>810.05</v>
      </c>
      <c r="P271" s="7">
        <f t="array" ref="P271">K271*O271</f>
        <v>9194.0674999999992</v>
      </c>
      <c r="Q271" s="7">
        <f t="array" ref="Q271">L271*O271</f>
        <v>5678.4504999999999</v>
      </c>
      <c r="R271" s="7">
        <f t="array" ref="R271">N271*K271</f>
        <v>896184.65</v>
      </c>
      <c r="S271" s="7">
        <f t="array" ref="S271">N271*K271*O271</f>
        <v>725954375.73249996</v>
      </c>
    </row>
    <row r="272" spans="1:19" ht="14.25" customHeight="1" x14ac:dyDescent="0.3">
      <c r="A272">
        <v>271</v>
      </c>
      <c r="B272" s="12">
        <v>45292</v>
      </c>
      <c r="C272" s="5">
        <v>2024</v>
      </c>
      <c r="D272" s="5" t="s">
        <v>50</v>
      </c>
      <c r="E272" s="5" t="s">
        <v>67</v>
      </c>
      <c r="F272" s="6" t="s">
        <v>56</v>
      </c>
      <c r="G272" s="6" t="s">
        <v>21</v>
      </c>
      <c r="H272" s="9" t="s">
        <v>23</v>
      </c>
      <c r="I272" s="9" t="s">
        <v>24</v>
      </c>
      <c r="J272" s="9" t="s">
        <v>31</v>
      </c>
      <c r="K272" s="7">
        <v>7.03</v>
      </c>
      <c r="L272" s="7">
        <v>5.56</v>
      </c>
      <c r="M272" s="8">
        <v>0.20899999999999999</v>
      </c>
      <c r="N272" s="10">
        <v>277816</v>
      </c>
      <c r="O272" s="7">
        <v>810.05</v>
      </c>
      <c r="P272" s="7">
        <f t="array" ref="P272">K272*O272</f>
        <v>5694.6514999999999</v>
      </c>
      <c r="Q272" s="7">
        <f t="array" ref="Q272">L272*O272</f>
        <v>4503.8779999999997</v>
      </c>
      <c r="R272" s="7">
        <f t="array" ref="R272">N272*K272</f>
        <v>1953046.48</v>
      </c>
      <c r="S272" s="7">
        <f t="array" ref="S272">N272*K272*O272</f>
        <v>1582065301.1239998</v>
      </c>
    </row>
    <row r="273" spans="1:19" ht="14.25" customHeight="1" x14ac:dyDescent="0.3">
      <c r="A273">
        <v>272</v>
      </c>
      <c r="B273" s="12">
        <v>45292</v>
      </c>
      <c r="C273" s="5">
        <v>2024</v>
      </c>
      <c r="D273" s="5" t="s">
        <v>50</v>
      </c>
      <c r="E273" s="5" t="s">
        <v>60</v>
      </c>
      <c r="F273" s="6" t="s">
        <v>62</v>
      </c>
      <c r="G273" s="6" t="s">
        <v>64</v>
      </c>
      <c r="H273" s="9" t="s">
        <v>23</v>
      </c>
      <c r="I273" s="9" t="s">
        <v>29</v>
      </c>
      <c r="J273" s="9" t="s">
        <v>22</v>
      </c>
      <c r="K273" s="7">
        <v>19.510000000000002</v>
      </c>
      <c r="L273" s="7">
        <v>11.55</v>
      </c>
      <c r="M273" s="8">
        <v>0.40799999999999997</v>
      </c>
      <c r="N273" s="10">
        <v>252480</v>
      </c>
      <c r="O273" s="7">
        <v>810.05</v>
      </c>
      <c r="P273" s="7">
        <f t="array" ref="P273">K273*O273</f>
        <v>15804.075500000001</v>
      </c>
      <c r="Q273" s="7">
        <f t="array" ref="Q273">L273*O273</f>
        <v>9356.0774999999994</v>
      </c>
      <c r="R273" s="7">
        <f t="array" ref="R273">N273*K273</f>
        <v>4925884.8000000007</v>
      </c>
      <c r="S273" s="7">
        <f t="array" ref="S273">N273*K273*O273</f>
        <v>3990212982.2400002</v>
      </c>
    </row>
    <row r="274" spans="1:19" ht="14.25" customHeight="1" x14ac:dyDescent="0.3">
      <c r="A274">
        <v>273</v>
      </c>
      <c r="B274" s="12">
        <v>45292</v>
      </c>
      <c r="C274" s="5">
        <v>2024</v>
      </c>
      <c r="D274" s="5" t="s">
        <v>33</v>
      </c>
      <c r="E274" s="5" t="s">
        <v>34</v>
      </c>
      <c r="F274" s="6" t="s">
        <v>20</v>
      </c>
      <c r="G274" s="6" t="s">
        <v>64</v>
      </c>
      <c r="H274" s="9" t="s">
        <v>23</v>
      </c>
      <c r="I274" s="9" t="s">
        <v>24</v>
      </c>
      <c r="J274" s="9" t="s">
        <v>31</v>
      </c>
      <c r="K274" s="7">
        <v>10.14</v>
      </c>
      <c r="L274" s="7">
        <v>5.43</v>
      </c>
      <c r="M274" s="8">
        <v>0.46400000000000002</v>
      </c>
      <c r="N274" s="10">
        <v>99644</v>
      </c>
      <c r="O274" s="7">
        <v>810.05</v>
      </c>
      <c r="P274" s="7">
        <f t="array" ref="P274">K274*O274</f>
        <v>8213.9069999999992</v>
      </c>
      <c r="Q274" s="7">
        <f t="array" ref="Q274">L274*O274</f>
        <v>4398.5714999999991</v>
      </c>
      <c r="R274" s="7">
        <f t="array" ref="R274">N274*K274</f>
        <v>1010390.16</v>
      </c>
      <c r="S274" s="7">
        <f t="array" ref="S274">N274*K274*O274</f>
        <v>818466549.10800004</v>
      </c>
    </row>
    <row r="275" spans="1:19" ht="14.25" customHeight="1" x14ac:dyDescent="0.3">
      <c r="A275">
        <v>274</v>
      </c>
      <c r="B275" s="12">
        <v>45292</v>
      </c>
      <c r="C275" s="5">
        <v>2024</v>
      </c>
      <c r="D275" s="5" t="s">
        <v>39</v>
      </c>
      <c r="E275" s="5" t="s">
        <v>65</v>
      </c>
      <c r="F275" s="6" t="s">
        <v>20</v>
      </c>
      <c r="G275" s="6" t="s">
        <v>21</v>
      </c>
      <c r="H275" s="9" t="s">
        <v>38</v>
      </c>
      <c r="I275" s="9" t="s">
        <v>46</v>
      </c>
      <c r="J275" s="9" t="s">
        <v>31</v>
      </c>
      <c r="K275" s="7">
        <v>18.95</v>
      </c>
      <c r="L275" s="7">
        <v>12.88</v>
      </c>
      <c r="M275" s="8">
        <v>0.32</v>
      </c>
      <c r="N275" s="10">
        <v>83027</v>
      </c>
      <c r="O275" s="7">
        <v>810.05</v>
      </c>
      <c r="P275" s="7">
        <f t="array" ref="P275">K275*O275</f>
        <v>15350.447499999998</v>
      </c>
      <c r="Q275" s="7">
        <f t="array" ref="Q275">L275*O275</f>
        <v>10433.444</v>
      </c>
      <c r="R275" s="7">
        <f t="array" ref="R275">N275*K275</f>
        <v>1573361.65</v>
      </c>
      <c r="S275" s="7">
        <f t="array" ref="S275">N275*K275*O275</f>
        <v>1274501604.5824997</v>
      </c>
    </row>
    <row r="276" spans="1:19" ht="14.25" customHeight="1" x14ac:dyDescent="0.3">
      <c r="A276">
        <v>275</v>
      </c>
      <c r="B276" s="12">
        <v>45292</v>
      </c>
      <c r="C276" s="5">
        <v>2024</v>
      </c>
      <c r="D276" s="5" t="s">
        <v>39</v>
      </c>
      <c r="E276" s="5" t="s">
        <v>65</v>
      </c>
      <c r="F276" s="6" t="s">
        <v>48</v>
      </c>
      <c r="G276" s="6" t="s">
        <v>64</v>
      </c>
      <c r="H276" s="9" t="s">
        <v>23</v>
      </c>
      <c r="I276" s="9" t="s">
        <v>32</v>
      </c>
      <c r="J276" s="9" t="s">
        <v>22</v>
      </c>
      <c r="K276" s="7">
        <v>18.440000000000001</v>
      </c>
      <c r="L276" s="7">
        <v>10.83</v>
      </c>
      <c r="M276" s="8">
        <v>0.41299999999999998</v>
      </c>
      <c r="N276" s="10">
        <v>135816</v>
      </c>
      <c r="O276" s="7">
        <v>810.05</v>
      </c>
      <c r="P276" s="7">
        <f t="array" ref="P276">K276*O276</f>
        <v>14937.322</v>
      </c>
      <c r="Q276" s="7">
        <f t="array" ref="Q276">L276*O276</f>
        <v>8772.8415000000005</v>
      </c>
      <c r="R276" s="7">
        <f t="array" ref="R276">N276*K276</f>
        <v>2504447.04</v>
      </c>
      <c r="S276" s="7">
        <f t="array" ref="S276">N276*K276*O276</f>
        <v>2028727324.7519999</v>
      </c>
    </row>
    <row r="277" spans="1:19" ht="14.25" customHeight="1" x14ac:dyDescent="0.3">
      <c r="A277">
        <v>276</v>
      </c>
      <c r="B277" s="12">
        <v>45292</v>
      </c>
      <c r="C277" s="5">
        <v>2024</v>
      </c>
      <c r="D277" s="5" t="s">
        <v>50</v>
      </c>
      <c r="E277" s="5" t="s">
        <v>51</v>
      </c>
      <c r="F277" s="6" t="s">
        <v>52</v>
      </c>
      <c r="G277" s="6" t="s">
        <v>21</v>
      </c>
      <c r="H277" s="9" t="s">
        <v>28</v>
      </c>
      <c r="I277" s="9" t="s">
        <v>32</v>
      </c>
      <c r="J277" s="9" t="s">
        <v>22</v>
      </c>
      <c r="K277" s="7">
        <v>11.44</v>
      </c>
      <c r="L277" s="7">
        <v>7.49</v>
      </c>
      <c r="M277" s="8">
        <v>0.34499999999999997</v>
      </c>
      <c r="N277" s="10">
        <v>278565</v>
      </c>
      <c r="O277" s="7">
        <v>810.05</v>
      </c>
      <c r="P277" s="7">
        <f t="array" ref="P277">K277*O277</f>
        <v>9266.9719999999998</v>
      </c>
      <c r="Q277" s="7">
        <f t="array" ref="Q277">L277*O277</f>
        <v>6067.2744999999995</v>
      </c>
      <c r="R277" s="7">
        <f t="array" ref="R277">N277*K277</f>
        <v>3186783.6</v>
      </c>
      <c r="S277" s="7">
        <f t="array" ref="S277">N277*K277*O277</f>
        <v>2581454055.1799998</v>
      </c>
    </row>
    <row r="278" spans="1:19" ht="14.25" customHeight="1" x14ac:dyDescent="0.3">
      <c r="A278">
        <v>277</v>
      </c>
      <c r="B278" s="12">
        <v>45292</v>
      </c>
      <c r="C278" s="5">
        <v>2024</v>
      </c>
      <c r="D278" s="5" t="s">
        <v>42</v>
      </c>
      <c r="E278" s="5" t="s">
        <v>66</v>
      </c>
      <c r="F278" s="6" t="s">
        <v>69</v>
      </c>
      <c r="G278" s="6" t="s">
        <v>21</v>
      </c>
      <c r="H278" s="9" t="s">
        <v>23</v>
      </c>
      <c r="I278" s="9" t="s">
        <v>32</v>
      </c>
      <c r="J278" s="9" t="s">
        <v>31</v>
      </c>
      <c r="K278" s="7">
        <v>11.4</v>
      </c>
      <c r="L278" s="7">
        <v>6.03</v>
      </c>
      <c r="M278" s="8">
        <v>0.47099999999999997</v>
      </c>
      <c r="N278" s="10">
        <v>286890</v>
      </c>
      <c r="O278" s="7">
        <v>810.05</v>
      </c>
      <c r="P278" s="7">
        <f t="array" ref="P278">K278*O278</f>
        <v>9234.57</v>
      </c>
      <c r="Q278" s="7">
        <f t="array" ref="Q278">L278*O278</f>
        <v>4884.6014999999998</v>
      </c>
      <c r="R278" s="7">
        <f t="array" ref="R278">N278*K278</f>
        <v>3270546</v>
      </c>
      <c r="S278" s="7">
        <f t="array" ref="S278">N278*K278*O278</f>
        <v>2649305787.2999997</v>
      </c>
    </row>
    <row r="279" spans="1:19" ht="14.25" customHeight="1" x14ac:dyDescent="0.3">
      <c r="A279">
        <v>278</v>
      </c>
      <c r="B279" s="12">
        <v>45292</v>
      </c>
      <c r="C279" s="5">
        <v>2024</v>
      </c>
      <c r="D279" s="5" t="s">
        <v>42</v>
      </c>
      <c r="E279" s="5" t="s">
        <v>68</v>
      </c>
      <c r="F279" s="6" t="s">
        <v>44</v>
      </c>
      <c r="G279" s="6" t="s">
        <v>21</v>
      </c>
      <c r="H279" s="9" t="s">
        <v>23</v>
      </c>
      <c r="I279" s="9" t="s">
        <v>29</v>
      </c>
      <c r="J279" s="9" t="s">
        <v>49</v>
      </c>
      <c r="K279" s="7">
        <v>9.32</v>
      </c>
      <c r="L279" s="7">
        <v>5.17</v>
      </c>
      <c r="M279" s="8">
        <v>0.44500000000000001</v>
      </c>
      <c r="N279" s="10">
        <v>110435</v>
      </c>
      <c r="O279" s="7">
        <v>810.05</v>
      </c>
      <c r="P279" s="7">
        <f t="array" ref="P279">K279*O279</f>
        <v>7549.6660000000002</v>
      </c>
      <c r="Q279" s="7">
        <f t="array" ref="Q279">L279*O279</f>
        <v>4187.9584999999997</v>
      </c>
      <c r="R279" s="7">
        <f t="array" ref="R279">N279*K279</f>
        <v>1029254.2000000001</v>
      </c>
      <c r="S279" s="7">
        <f t="array" ref="S279">N279*K279*O279</f>
        <v>833747364.71000004</v>
      </c>
    </row>
    <row r="280" spans="1:19" ht="14.25" customHeight="1" x14ac:dyDescent="0.3">
      <c r="A280">
        <v>279</v>
      </c>
      <c r="B280" s="12">
        <v>45323</v>
      </c>
      <c r="C280" s="5">
        <v>2024</v>
      </c>
      <c r="D280" s="5" t="s">
        <v>18</v>
      </c>
      <c r="E280" s="5" t="s">
        <v>19</v>
      </c>
      <c r="F280" s="6" t="s">
        <v>20</v>
      </c>
      <c r="G280" s="6" t="s">
        <v>21</v>
      </c>
      <c r="H280" s="9" t="s">
        <v>23</v>
      </c>
      <c r="I280" s="9" t="s">
        <v>24</v>
      </c>
      <c r="J280" s="9" t="s">
        <v>22</v>
      </c>
      <c r="K280" s="7">
        <v>12.37</v>
      </c>
      <c r="L280" s="7">
        <v>9.08</v>
      </c>
      <c r="M280" s="8">
        <v>0.26600000000000001</v>
      </c>
      <c r="N280" s="10">
        <v>254371</v>
      </c>
      <c r="O280" s="7">
        <v>826.9</v>
      </c>
      <c r="P280" s="7">
        <f t="array" ref="P280">K280*O280</f>
        <v>10228.752999999999</v>
      </c>
      <c r="Q280" s="7">
        <f t="array" ref="Q280">L280*O280</f>
        <v>7508.2519999999995</v>
      </c>
      <c r="R280" s="7">
        <f t="array" ref="R280">N280*K280</f>
        <v>3146569.27</v>
      </c>
      <c r="S280" s="7">
        <f t="array" ref="S280">N280*K280*O280</f>
        <v>2601898129.3629999</v>
      </c>
    </row>
    <row r="281" spans="1:19" ht="14.25" customHeight="1" x14ac:dyDescent="0.3">
      <c r="A281">
        <v>280</v>
      </c>
      <c r="B281" s="12">
        <v>45323</v>
      </c>
      <c r="C281" s="5">
        <v>2024</v>
      </c>
      <c r="D281" s="5" t="s">
        <v>25</v>
      </c>
      <c r="E281" s="5" t="s">
        <v>26</v>
      </c>
      <c r="F281" s="6" t="s">
        <v>30</v>
      </c>
      <c r="G281" s="6" t="s">
        <v>21</v>
      </c>
      <c r="H281" s="9" t="s">
        <v>23</v>
      </c>
      <c r="I281" s="9" t="s">
        <v>32</v>
      </c>
      <c r="J281" s="9" t="s">
        <v>31</v>
      </c>
      <c r="K281" s="7">
        <v>7.3</v>
      </c>
      <c r="L281" s="7">
        <v>5.17</v>
      </c>
      <c r="M281" s="8">
        <v>0.29199999999999998</v>
      </c>
      <c r="N281" s="10">
        <v>185214</v>
      </c>
      <c r="O281" s="7">
        <v>826.9</v>
      </c>
      <c r="P281" s="7">
        <f t="array" ref="P281">K281*O281</f>
        <v>6036.37</v>
      </c>
      <c r="Q281" s="7">
        <f t="array" ref="Q281">L281*O281</f>
        <v>4275.0729999999994</v>
      </c>
      <c r="R281" s="7">
        <f t="array" ref="R281">N281*K281</f>
        <v>1352062.2</v>
      </c>
      <c r="S281" s="7">
        <f t="array" ref="S281">N281*K281*O281</f>
        <v>1118020233.1799998</v>
      </c>
    </row>
    <row r="282" spans="1:19" ht="14.25" customHeight="1" x14ac:dyDescent="0.3">
      <c r="A282">
        <v>281</v>
      </c>
      <c r="B282" s="12">
        <v>45323</v>
      </c>
      <c r="C282" s="5">
        <v>2024</v>
      </c>
      <c r="D282" s="5" t="s">
        <v>33</v>
      </c>
      <c r="E282" s="5" t="s">
        <v>34</v>
      </c>
      <c r="F282" s="6" t="s">
        <v>47</v>
      </c>
      <c r="G282" s="6" t="s">
        <v>21</v>
      </c>
      <c r="H282" s="9" t="s">
        <v>23</v>
      </c>
      <c r="I282" s="9" t="s">
        <v>32</v>
      </c>
      <c r="J282" s="9" t="s">
        <v>31</v>
      </c>
      <c r="K282" s="7">
        <v>7.27</v>
      </c>
      <c r="L282" s="7">
        <v>4.5</v>
      </c>
      <c r="M282" s="8">
        <v>0.38100000000000001</v>
      </c>
      <c r="N282" s="10">
        <v>269632</v>
      </c>
      <c r="O282" s="7">
        <v>826.9</v>
      </c>
      <c r="P282" s="7">
        <f t="array" ref="P282">K282*O282</f>
        <v>6011.5629999999992</v>
      </c>
      <c r="Q282" s="7">
        <f t="array" ref="Q282">L282*O282</f>
        <v>3721.0499999999997</v>
      </c>
      <c r="R282" s="7">
        <f t="array" ref="R282">N282*K282</f>
        <v>1960224.64</v>
      </c>
      <c r="S282" s="7">
        <f t="array" ref="S282">N282*K282*O282</f>
        <v>1620909754.816</v>
      </c>
    </row>
    <row r="283" spans="1:19" ht="14.25" customHeight="1" x14ac:dyDescent="0.3">
      <c r="A283">
        <v>282</v>
      </c>
      <c r="B283" s="12">
        <v>45323</v>
      </c>
      <c r="C283" s="5">
        <v>2024</v>
      </c>
      <c r="D283" s="5" t="s">
        <v>18</v>
      </c>
      <c r="E283" s="5" t="s">
        <v>19</v>
      </c>
      <c r="F283" s="6" t="s">
        <v>55</v>
      </c>
      <c r="G283" s="6" t="s">
        <v>21</v>
      </c>
      <c r="H283" s="9" t="s">
        <v>38</v>
      </c>
      <c r="I283" s="9" t="s">
        <v>32</v>
      </c>
      <c r="J283" s="9" t="s">
        <v>31</v>
      </c>
      <c r="K283" s="7">
        <v>5.72</v>
      </c>
      <c r="L283" s="7">
        <v>3.9</v>
      </c>
      <c r="M283" s="8">
        <v>0.318</v>
      </c>
      <c r="N283" s="10">
        <v>234675</v>
      </c>
      <c r="O283" s="7">
        <v>826.9</v>
      </c>
      <c r="P283" s="7">
        <f t="array" ref="P283">K283*O283</f>
        <v>4729.8679999999995</v>
      </c>
      <c r="Q283" s="7">
        <f t="array" ref="Q283">L283*O283</f>
        <v>3224.91</v>
      </c>
      <c r="R283" s="7">
        <f t="array" ref="R283">N283*K283</f>
        <v>1342341</v>
      </c>
      <c r="S283" s="7">
        <f t="array" ref="S283">N283*K283*O283</f>
        <v>1109981772.8999999</v>
      </c>
    </row>
    <row r="284" spans="1:19" ht="14.25" customHeight="1" x14ac:dyDescent="0.3">
      <c r="A284">
        <v>283</v>
      </c>
      <c r="B284" s="12">
        <v>45323</v>
      </c>
      <c r="C284" s="5">
        <v>2024</v>
      </c>
      <c r="D284" s="5" t="s">
        <v>39</v>
      </c>
      <c r="E284" s="5" t="s">
        <v>58</v>
      </c>
      <c r="F284" s="6" t="s">
        <v>41</v>
      </c>
      <c r="G284" s="6" t="s">
        <v>21</v>
      </c>
      <c r="H284" s="9" t="s">
        <v>23</v>
      </c>
      <c r="I284" s="9" t="s">
        <v>32</v>
      </c>
      <c r="J284" s="9" t="s">
        <v>22</v>
      </c>
      <c r="K284" s="7">
        <v>16.89</v>
      </c>
      <c r="L284" s="7">
        <v>9.68</v>
      </c>
      <c r="M284" s="8">
        <v>0.42699999999999999</v>
      </c>
      <c r="N284" s="10">
        <v>88715</v>
      </c>
      <c r="O284" s="7">
        <v>826.9</v>
      </c>
      <c r="P284" s="7">
        <f t="array" ref="P284">K284*O284</f>
        <v>13966.341</v>
      </c>
      <c r="Q284" s="7">
        <f t="array" ref="Q284">L284*O284</f>
        <v>8004.3919999999998</v>
      </c>
      <c r="R284" s="7">
        <f t="array" ref="R284">N284*K284</f>
        <v>1498396.35</v>
      </c>
      <c r="S284" s="7">
        <f t="array" ref="S284">N284*K284*O284</f>
        <v>1239023941.8150001</v>
      </c>
    </row>
    <row r="285" spans="1:19" ht="14.25" customHeight="1" x14ac:dyDescent="0.3">
      <c r="A285">
        <v>284</v>
      </c>
      <c r="B285" s="12">
        <v>45323</v>
      </c>
      <c r="C285" s="5">
        <v>2024</v>
      </c>
      <c r="D285" s="5" t="s">
        <v>18</v>
      </c>
      <c r="E285" s="5" t="s">
        <v>19</v>
      </c>
      <c r="F285" s="6" t="s">
        <v>55</v>
      </c>
      <c r="G285" s="6" t="s">
        <v>21</v>
      </c>
      <c r="H285" s="9" t="s">
        <v>23</v>
      </c>
      <c r="I285" s="9" t="s">
        <v>46</v>
      </c>
      <c r="J285" s="9" t="s">
        <v>22</v>
      </c>
      <c r="K285" s="7">
        <v>19.309999999999999</v>
      </c>
      <c r="L285" s="7">
        <v>12.33</v>
      </c>
      <c r="M285" s="8">
        <v>0.36099999999999999</v>
      </c>
      <c r="N285" s="10">
        <v>110014</v>
      </c>
      <c r="O285" s="7">
        <v>826.9</v>
      </c>
      <c r="P285" s="7">
        <f t="array" ref="P285">K285*O285</f>
        <v>15967.438999999998</v>
      </c>
      <c r="Q285" s="7">
        <f t="array" ref="Q285">L285*O285</f>
        <v>10195.677</v>
      </c>
      <c r="R285" s="7">
        <f t="array" ref="R285">N285*K285</f>
        <v>2124370.34</v>
      </c>
      <c r="S285" s="7">
        <f t="array" ref="S285">N285*K285*O285</f>
        <v>1756641834.1459999</v>
      </c>
    </row>
    <row r="286" spans="1:19" ht="14.25" customHeight="1" x14ac:dyDescent="0.3">
      <c r="A286">
        <v>285</v>
      </c>
      <c r="B286" s="12">
        <v>45323</v>
      </c>
      <c r="C286" s="5">
        <v>2024</v>
      </c>
      <c r="D286" s="5" t="s">
        <v>25</v>
      </c>
      <c r="E286" s="5" t="s">
        <v>70</v>
      </c>
      <c r="F286" s="6" t="s">
        <v>30</v>
      </c>
      <c r="G286" s="6" t="s">
        <v>21</v>
      </c>
      <c r="H286" s="9" t="s">
        <v>28</v>
      </c>
      <c r="I286" s="9" t="s">
        <v>32</v>
      </c>
      <c r="J286" s="9" t="s">
        <v>49</v>
      </c>
      <c r="K286" s="7">
        <v>11.51</v>
      </c>
      <c r="L286" s="7">
        <v>6.44</v>
      </c>
      <c r="M286" s="8">
        <v>0.44</v>
      </c>
      <c r="N286" s="10">
        <v>115018</v>
      </c>
      <c r="O286" s="7">
        <v>826.9</v>
      </c>
      <c r="P286" s="7">
        <f t="array" ref="P286">K286*O286</f>
        <v>9517.6189999999988</v>
      </c>
      <c r="Q286" s="7">
        <f t="array" ref="Q286">L286*O286</f>
        <v>5325.2359999999999</v>
      </c>
      <c r="R286" s="7">
        <f t="array" ref="R286">N286*K286</f>
        <v>1323857.18</v>
      </c>
      <c r="S286" s="7">
        <f t="array" ref="S286">N286*K286*O286</f>
        <v>1094697502.142</v>
      </c>
    </row>
    <row r="287" spans="1:19" ht="14.25" customHeight="1" x14ac:dyDescent="0.3">
      <c r="A287">
        <v>286</v>
      </c>
      <c r="B287" s="12">
        <v>45323</v>
      </c>
      <c r="C287" s="5">
        <v>2024</v>
      </c>
      <c r="D287" s="5" t="s">
        <v>50</v>
      </c>
      <c r="E287" s="5" t="s">
        <v>60</v>
      </c>
      <c r="F287" s="6" t="s">
        <v>52</v>
      </c>
      <c r="G287" s="6" t="s">
        <v>21</v>
      </c>
      <c r="H287" s="9" t="s">
        <v>28</v>
      </c>
      <c r="I287" s="9" t="s">
        <v>46</v>
      </c>
      <c r="J287" s="9" t="s">
        <v>22</v>
      </c>
      <c r="K287" s="7">
        <v>15.16</v>
      </c>
      <c r="L287" s="7">
        <v>8.98</v>
      </c>
      <c r="M287" s="8">
        <v>0.40799999999999997</v>
      </c>
      <c r="N287" s="10">
        <v>176321</v>
      </c>
      <c r="O287" s="7">
        <v>826.9</v>
      </c>
      <c r="P287" s="7">
        <f t="array" ref="P287">K287*O287</f>
        <v>12535.804</v>
      </c>
      <c r="Q287" s="7">
        <f t="array" ref="Q287">L287*O287</f>
        <v>7425.5619999999999</v>
      </c>
      <c r="R287" s="7">
        <f t="array" ref="R287">N287*K287</f>
        <v>2673026.36</v>
      </c>
      <c r="S287" s="7">
        <f t="array" ref="S287">N287*K287*O287</f>
        <v>2210325497.0839996</v>
      </c>
    </row>
    <row r="288" spans="1:19" ht="14.25" customHeight="1" x14ac:dyDescent="0.3">
      <c r="A288">
        <v>287</v>
      </c>
      <c r="B288" s="12">
        <v>45323</v>
      </c>
      <c r="C288" s="5">
        <v>2024</v>
      </c>
      <c r="D288" s="5" t="s">
        <v>33</v>
      </c>
      <c r="E288" s="5" t="s">
        <v>37</v>
      </c>
      <c r="F288" s="6" t="s">
        <v>20</v>
      </c>
      <c r="G288" s="6" t="s">
        <v>21</v>
      </c>
      <c r="H288" s="9" t="s">
        <v>28</v>
      </c>
      <c r="I288" s="9" t="s">
        <v>29</v>
      </c>
      <c r="J288" s="9" t="s">
        <v>22</v>
      </c>
      <c r="K288" s="7">
        <v>15.06</v>
      </c>
      <c r="L288" s="7">
        <v>8.17</v>
      </c>
      <c r="M288" s="8">
        <v>0.45800000000000002</v>
      </c>
      <c r="N288" s="10">
        <v>143002</v>
      </c>
      <c r="O288" s="7">
        <v>826.9</v>
      </c>
      <c r="P288" s="7">
        <f t="array" ref="P288">K288*O288</f>
        <v>12453.114</v>
      </c>
      <c r="Q288" s="7">
        <f t="array" ref="Q288">L288*O288</f>
        <v>6755.7730000000001</v>
      </c>
      <c r="R288" s="7">
        <f t="array" ref="R288">N288*K288</f>
        <v>2153610.12</v>
      </c>
      <c r="S288" s="7">
        <f t="array" ref="S288">N288*K288*O288</f>
        <v>1780820208.2279999</v>
      </c>
    </row>
    <row r="289" spans="1:19" ht="14.25" customHeight="1" x14ac:dyDescent="0.3">
      <c r="A289">
        <v>288</v>
      </c>
      <c r="B289" s="12">
        <v>45323</v>
      </c>
      <c r="C289" s="5">
        <v>2024</v>
      </c>
      <c r="D289" s="5" t="s">
        <v>50</v>
      </c>
      <c r="E289" s="5" t="s">
        <v>67</v>
      </c>
      <c r="F289" s="6" t="s">
        <v>52</v>
      </c>
      <c r="G289" s="6" t="s">
        <v>36</v>
      </c>
      <c r="H289" s="9" t="s">
        <v>23</v>
      </c>
      <c r="I289" s="9" t="s">
        <v>24</v>
      </c>
      <c r="J289" s="9" t="s">
        <v>22</v>
      </c>
      <c r="K289" s="7">
        <v>19.989999999999998</v>
      </c>
      <c r="L289" s="7">
        <v>11.73</v>
      </c>
      <c r="M289" s="8">
        <v>0.41299999999999998</v>
      </c>
      <c r="N289" s="10">
        <v>91986</v>
      </c>
      <c r="O289" s="7">
        <v>826.9</v>
      </c>
      <c r="P289" s="7">
        <f t="array" ref="P289">K289*O289</f>
        <v>16529.731</v>
      </c>
      <c r="Q289" s="7">
        <f t="array" ref="Q289">L289*O289</f>
        <v>9699.5370000000003</v>
      </c>
      <c r="R289" s="7">
        <f t="array" ref="R289">N289*K289</f>
        <v>1838800.14</v>
      </c>
      <c r="S289" s="7">
        <f t="array" ref="S289">N289*K289*O289</f>
        <v>1520503835.7659998</v>
      </c>
    </row>
    <row r="290" spans="1:19" ht="14.25" customHeight="1" x14ac:dyDescent="0.3">
      <c r="A290">
        <v>289</v>
      </c>
      <c r="B290" s="12">
        <v>45323</v>
      </c>
      <c r="C290" s="5">
        <v>2024</v>
      </c>
      <c r="D290" s="5" t="s">
        <v>25</v>
      </c>
      <c r="E290" s="5" t="s">
        <v>26</v>
      </c>
      <c r="F290" s="6" t="s">
        <v>30</v>
      </c>
      <c r="G290" s="6" t="s">
        <v>21</v>
      </c>
      <c r="H290" s="9" t="s">
        <v>38</v>
      </c>
      <c r="I290" s="9" t="s">
        <v>29</v>
      </c>
      <c r="J290" s="9" t="s">
        <v>49</v>
      </c>
      <c r="K290" s="7">
        <v>15.43</v>
      </c>
      <c r="L290" s="7">
        <v>7.97</v>
      </c>
      <c r="M290" s="8">
        <v>0.48299999999999998</v>
      </c>
      <c r="N290" s="10">
        <v>274889</v>
      </c>
      <c r="O290" s="7">
        <v>826.9</v>
      </c>
      <c r="P290" s="7">
        <f t="array" ref="P290">K290*O290</f>
        <v>12759.066999999999</v>
      </c>
      <c r="Q290" s="7">
        <f t="array" ref="Q290">L290*O290</f>
        <v>6590.393</v>
      </c>
      <c r="R290" s="7">
        <f t="array" ref="R290">N290*K290</f>
        <v>4241537.2699999996</v>
      </c>
      <c r="S290" s="7">
        <f t="array" ref="S290">N290*K290*O290</f>
        <v>3507327168.5629997</v>
      </c>
    </row>
    <row r="291" spans="1:19" ht="14.25" customHeight="1" x14ac:dyDescent="0.3">
      <c r="A291">
        <v>290</v>
      </c>
      <c r="B291" s="12">
        <v>45323</v>
      </c>
      <c r="C291" s="5">
        <v>2024</v>
      </c>
      <c r="D291" s="5" t="s">
        <v>33</v>
      </c>
      <c r="E291" s="5" t="s">
        <v>37</v>
      </c>
      <c r="F291" s="6" t="s">
        <v>47</v>
      </c>
      <c r="G291" s="6" t="s">
        <v>64</v>
      </c>
      <c r="H291" s="9" t="s">
        <v>28</v>
      </c>
      <c r="I291" s="9" t="s">
        <v>29</v>
      </c>
      <c r="J291" s="9" t="s">
        <v>31</v>
      </c>
      <c r="K291" s="7">
        <v>15.59</v>
      </c>
      <c r="L291" s="7">
        <v>8.18</v>
      </c>
      <c r="M291" s="8">
        <v>0.47499999999999998</v>
      </c>
      <c r="N291" s="10">
        <v>277406</v>
      </c>
      <c r="O291" s="7">
        <v>826.9</v>
      </c>
      <c r="P291" s="7">
        <f t="array" ref="P291">K291*O291</f>
        <v>12891.370999999999</v>
      </c>
      <c r="Q291" s="7">
        <f t="array" ref="Q291">L291*O291</f>
        <v>6764.0419999999995</v>
      </c>
      <c r="R291" s="7">
        <f t="array" ref="R291">N291*K291</f>
        <v>4324759.54</v>
      </c>
      <c r="S291" s="7">
        <f t="array" ref="S291">N291*K291*O291</f>
        <v>3576143663.6259999</v>
      </c>
    </row>
    <row r="292" spans="1:19" ht="14.25" customHeight="1" x14ac:dyDescent="0.3">
      <c r="A292">
        <v>291</v>
      </c>
      <c r="B292" s="12">
        <v>45323</v>
      </c>
      <c r="C292" s="5">
        <v>2024</v>
      </c>
      <c r="D292" s="5" t="s">
        <v>42</v>
      </c>
      <c r="E292" s="5" t="s">
        <v>66</v>
      </c>
      <c r="F292" s="6" t="s">
        <v>44</v>
      </c>
      <c r="G292" s="6" t="s">
        <v>64</v>
      </c>
      <c r="H292" s="9" t="s">
        <v>23</v>
      </c>
      <c r="I292" s="9" t="s">
        <v>29</v>
      </c>
      <c r="J292" s="9" t="s">
        <v>22</v>
      </c>
      <c r="K292" s="7">
        <v>7.67</v>
      </c>
      <c r="L292" s="7">
        <v>5.39</v>
      </c>
      <c r="M292" s="8">
        <v>0.29699999999999999</v>
      </c>
      <c r="N292" s="10">
        <v>212676</v>
      </c>
      <c r="O292" s="7">
        <v>826.9</v>
      </c>
      <c r="P292" s="7">
        <f t="array" ref="P292">K292*O292</f>
        <v>6342.3229999999994</v>
      </c>
      <c r="Q292" s="7">
        <f t="array" ref="Q292">L292*O292</f>
        <v>4456.991</v>
      </c>
      <c r="R292" s="7">
        <f t="array" ref="R292">N292*K292</f>
        <v>1631224.92</v>
      </c>
      <c r="S292" s="7">
        <f t="array" ref="S292">N292*K292*O292</f>
        <v>1348859886.3479998</v>
      </c>
    </row>
    <row r="293" spans="1:19" ht="14.25" customHeight="1" x14ac:dyDescent="0.3">
      <c r="A293">
        <v>292</v>
      </c>
      <c r="B293" s="12">
        <v>45323</v>
      </c>
      <c r="C293" s="5">
        <v>2024</v>
      </c>
      <c r="D293" s="5" t="s">
        <v>42</v>
      </c>
      <c r="E293" s="5" t="s">
        <v>68</v>
      </c>
      <c r="F293" s="6" t="s">
        <v>44</v>
      </c>
      <c r="G293" s="6" t="s">
        <v>21</v>
      </c>
      <c r="H293" s="9" t="s">
        <v>28</v>
      </c>
      <c r="I293" s="9" t="s">
        <v>29</v>
      </c>
      <c r="J293" s="9" t="s">
        <v>22</v>
      </c>
      <c r="K293" s="7">
        <v>18.03</v>
      </c>
      <c r="L293" s="7">
        <v>11.3</v>
      </c>
      <c r="M293" s="8">
        <v>0.373</v>
      </c>
      <c r="N293" s="10">
        <v>94697</v>
      </c>
      <c r="O293" s="7">
        <v>826.9</v>
      </c>
      <c r="P293" s="7">
        <f t="array" ref="P293">K293*O293</f>
        <v>14909.007000000001</v>
      </c>
      <c r="Q293" s="7">
        <f t="array" ref="Q293">L293*O293</f>
        <v>9343.9700000000012</v>
      </c>
      <c r="R293" s="7">
        <f t="array" ref="R293">N293*K293</f>
        <v>1707386.9100000001</v>
      </c>
      <c r="S293" s="7">
        <f t="array" ref="S293">N293*K293*O293</f>
        <v>1411838235.8790002</v>
      </c>
    </row>
    <row r="294" spans="1:19" ht="14.25" customHeight="1" x14ac:dyDescent="0.3">
      <c r="A294">
        <v>293</v>
      </c>
      <c r="B294" s="12">
        <v>45323</v>
      </c>
      <c r="C294" s="5">
        <v>2024</v>
      </c>
      <c r="D294" s="5" t="s">
        <v>18</v>
      </c>
      <c r="E294" s="5" t="s">
        <v>19</v>
      </c>
      <c r="F294" s="6" t="s">
        <v>55</v>
      </c>
      <c r="G294" s="6" t="s">
        <v>21</v>
      </c>
      <c r="H294" s="9" t="s">
        <v>38</v>
      </c>
      <c r="I294" s="9" t="s">
        <v>32</v>
      </c>
      <c r="J294" s="9" t="s">
        <v>31</v>
      </c>
      <c r="K294" s="7">
        <v>19.73</v>
      </c>
      <c r="L294" s="7">
        <v>14.89</v>
      </c>
      <c r="M294" s="8">
        <v>0.245</v>
      </c>
      <c r="N294" s="10">
        <v>250117</v>
      </c>
      <c r="O294" s="7">
        <v>826.9</v>
      </c>
      <c r="P294" s="7">
        <f t="array" ref="P294">K294*O294</f>
        <v>16314.736999999999</v>
      </c>
      <c r="Q294" s="7">
        <f t="array" ref="Q294">L294*O294</f>
        <v>12312.540999999999</v>
      </c>
      <c r="R294" s="7">
        <f t="array" ref="R294">N294*K294</f>
        <v>4934808.41</v>
      </c>
      <c r="S294" s="7">
        <f t="array" ref="S294">N294*K294*O294</f>
        <v>4080593074.2290001</v>
      </c>
    </row>
    <row r="295" spans="1:19" ht="14.25" customHeight="1" x14ac:dyDescent="0.3">
      <c r="A295">
        <v>294</v>
      </c>
      <c r="B295" s="12">
        <v>45323</v>
      </c>
      <c r="C295" s="5">
        <v>2024</v>
      </c>
      <c r="D295" s="5" t="s">
        <v>39</v>
      </c>
      <c r="E295" s="5" t="s">
        <v>58</v>
      </c>
      <c r="F295" s="6" t="s">
        <v>48</v>
      </c>
      <c r="G295" s="6" t="s">
        <v>36</v>
      </c>
      <c r="H295" s="9" t="s">
        <v>23</v>
      </c>
      <c r="I295" s="9" t="s">
        <v>32</v>
      </c>
      <c r="J295" s="9" t="s">
        <v>22</v>
      </c>
      <c r="K295" s="7">
        <v>7.62</v>
      </c>
      <c r="L295" s="7">
        <v>5.64</v>
      </c>
      <c r="M295" s="8">
        <v>0.26</v>
      </c>
      <c r="N295" s="10">
        <v>147467</v>
      </c>
      <c r="O295" s="7">
        <v>826.9</v>
      </c>
      <c r="P295" s="7">
        <f t="array" ref="P295">K295*O295</f>
        <v>6300.9780000000001</v>
      </c>
      <c r="Q295" s="7">
        <f t="array" ref="Q295">L295*O295</f>
        <v>4663.7159999999994</v>
      </c>
      <c r="R295" s="7">
        <f t="array" ref="R295">N295*K295</f>
        <v>1123698.54</v>
      </c>
      <c r="S295" s="7">
        <f t="array" ref="S295">N295*K295*O295</f>
        <v>929186322.72599995</v>
      </c>
    </row>
    <row r="296" spans="1:19" ht="14.25" customHeight="1" x14ac:dyDescent="0.3">
      <c r="A296">
        <v>295</v>
      </c>
      <c r="B296" s="12">
        <v>45323</v>
      </c>
      <c r="C296" s="5">
        <v>2024</v>
      </c>
      <c r="D296" s="5" t="s">
        <v>25</v>
      </c>
      <c r="E296" s="5" t="s">
        <v>70</v>
      </c>
      <c r="F296" s="6" t="s">
        <v>63</v>
      </c>
      <c r="G296" s="6" t="s">
        <v>21</v>
      </c>
      <c r="H296" s="9" t="s">
        <v>23</v>
      </c>
      <c r="I296" s="9" t="s">
        <v>29</v>
      </c>
      <c r="J296" s="9" t="s">
        <v>49</v>
      </c>
      <c r="K296" s="7">
        <v>8.6199999999999992</v>
      </c>
      <c r="L296" s="7">
        <v>5.34</v>
      </c>
      <c r="M296" s="8">
        <v>0.38100000000000001</v>
      </c>
      <c r="N296" s="10">
        <v>108097</v>
      </c>
      <c r="O296" s="7">
        <v>826.9</v>
      </c>
      <c r="P296" s="7">
        <f t="array" ref="P296">K296*O296</f>
        <v>7127.8779999999988</v>
      </c>
      <c r="Q296" s="7">
        <f t="array" ref="Q296">L296*O296</f>
        <v>4415.6459999999997</v>
      </c>
      <c r="R296" s="7">
        <f t="array" ref="R296">N296*K296</f>
        <v>931796.1399999999</v>
      </c>
      <c r="S296" s="7">
        <f t="array" ref="S296">N296*K296*O296</f>
        <v>770502228.16599989</v>
      </c>
    </row>
    <row r="297" spans="1:19" ht="14.25" customHeight="1" x14ac:dyDescent="0.3">
      <c r="A297">
        <v>296</v>
      </c>
      <c r="B297" s="12">
        <v>45323</v>
      </c>
      <c r="C297" s="5">
        <v>2024</v>
      </c>
      <c r="D297" s="5" t="s">
        <v>42</v>
      </c>
      <c r="E297" s="5" t="s">
        <v>68</v>
      </c>
      <c r="F297" s="6" t="s">
        <v>45</v>
      </c>
      <c r="G297" s="6" t="s">
        <v>21</v>
      </c>
      <c r="H297" s="9" t="s">
        <v>23</v>
      </c>
      <c r="I297" s="9" t="s">
        <v>32</v>
      </c>
      <c r="J297" s="9" t="s">
        <v>49</v>
      </c>
      <c r="K297" s="7">
        <v>10.55</v>
      </c>
      <c r="L297" s="7">
        <v>7.69</v>
      </c>
      <c r="M297" s="8">
        <v>0.27100000000000002</v>
      </c>
      <c r="N297" s="10">
        <v>228960</v>
      </c>
      <c r="O297" s="7">
        <v>826.9</v>
      </c>
      <c r="P297" s="7">
        <f t="array" ref="P297">K297*O297</f>
        <v>8723.7950000000001</v>
      </c>
      <c r="Q297" s="7">
        <f t="array" ref="Q297">L297*O297</f>
        <v>6358.8609999999999</v>
      </c>
      <c r="R297" s="7">
        <f t="array" ref="R297">N297*K297</f>
        <v>2415528</v>
      </c>
      <c r="S297" s="7">
        <f t="array" ref="S297">N297*K297*O297</f>
        <v>1997400103.2</v>
      </c>
    </row>
    <row r="298" spans="1:19" ht="14.25" customHeight="1" x14ac:dyDescent="0.3">
      <c r="A298">
        <v>297</v>
      </c>
      <c r="B298" s="12">
        <v>45323</v>
      </c>
      <c r="C298" s="5">
        <v>2024</v>
      </c>
      <c r="D298" s="5" t="s">
        <v>18</v>
      </c>
      <c r="E298" s="5" t="s">
        <v>61</v>
      </c>
      <c r="F298" s="6" t="s">
        <v>54</v>
      </c>
      <c r="G298" s="6" t="s">
        <v>21</v>
      </c>
      <c r="H298" s="9" t="s">
        <v>28</v>
      </c>
      <c r="I298" s="9" t="s">
        <v>24</v>
      </c>
      <c r="J298" s="9" t="s">
        <v>49</v>
      </c>
      <c r="K298" s="7">
        <v>17.16</v>
      </c>
      <c r="L298" s="7">
        <v>10.84</v>
      </c>
      <c r="M298" s="8">
        <v>0.36799999999999999</v>
      </c>
      <c r="N298" s="10">
        <v>174251</v>
      </c>
      <c r="O298" s="7">
        <v>826.9</v>
      </c>
      <c r="P298" s="7">
        <f t="array" ref="P298">K298*O298</f>
        <v>14189.603999999999</v>
      </c>
      <c r="Q298" s="7">
        <f t="array" ref="Q298">L298*O298</f>
        <v>8963.5959999999995</v>
      </c>
      <c r="R298" s="7">
        <f t="array" ref="R298">N298*K298</f>
        <v>2990147.16</v>
      </c>
      <c r="S298" s="7">
        <f t="array" ref="S298">N298*K298*O298</f>
        <v>2472552686.6040001</v>
      </c>
    </row>
    <row r="299" spans="1:19" ht="14.25" customHeight="1" x14ac:dyDescent="0.3">
      <c r="A299">
        <v>298</v>
      </c>
      <c r="B299" s="12">
        <v>45323</v>
      </c>
      <c r="C299" s="5">
        <v>2024</v>
      </c>
      <c r="D299" s="5" t="s">
        <v>25</v>
      </c>
      <c r="E299" s="5" t="s">
        <v>70</v>
      </c>
      <c r="F299" s="6" t="s">
        <v>27</v>
      </c>
      <c r="G299" s="6" t="s">
        <v>21</v>
      </c>
      <c r="H299" s="9" t="s">
        <v>23</v>
      </c>
      <c r="I299" s="9" t="s">
        <v>24</v>
      </c>
      <c r="J299" s="9" t="s">
        <v>31</v>
      </c>
      <c r="K299" s="7">
        <v>18.239999999999998</v>
      </c>
      <c r="L299" s="7">
        <v>13.54</v>
      </c>
      <c r="M299" s="8">
        <v>0.25800000000000001</v>
      </c>
      <c r="N299" s="10">
        <v>251692</v>
      </c>
      <c r="O299" s="7">
        <v>826.9</v>
      </c>
      <c r="P299" s="7">
        <f t="array" ref="P299">K299*O299</f>
        <v>15082.655999999999</v>
      </c>
      <c r="Q299" s="7">
        <f t="array" ref="Q299">L299*O299</f>
        <v>11196.225999999999</v>
      </c>
      <c r="R299" s="7">
        <f t="array" ref="R299">N299*K299</f>
        <v>4590862.0799999991</v>
      </c>
      <c r="S299" s="7">
        <f t="array" ref="S299">N299*K299*O299</f>
        <v>3796183853.9519992</v>
      </c>
    </row>
    <row r="300" spans="1:19" ht="14.25" customHeight="1" x14ac:dyDescent="0.3">
      <c r="A300">
        <v>299</v>
      </c>
      <c r="B300" s="12">
        <v>45323</v>
      </c>
      <c r="C300" s="5">
        <v>2024</v>
      </c>
      <c r="D300" s="5" t="s">
        <v>39</v>
      </c>
      <c r="E300" s="5" t="s">
        <v>40</v>
      </c>
      <c r="F300" s="6" t="s">
        <v>48</v>
      </c>
      <c r="G300" s="6" t="s">
        <v>21</v>
      </c>
      <c r="H300" s="9" t="s">
        <v>38</v>
      </c>
      <c r="I300" s="9" t="s">
        <v>32</v>
      </c>
      <c r="J300" s="9" t="s">
        <v>49</v>
      </c>
      <c r="K300" s="7">
        <v>18.87</v>
      </c>
      <c r="L300" s="7">
        <v>11</v>
      </c>
      <c r="M300" s="8">
        <v>0.41699999999999998</v>
      </c>
      <c r="N300" s="10">
        <v>289734</v>
      </c>
      <c r="O300" s="7">
        <v>826.9</v>
      </c>
      <c r="P300" s="7">
        <f t="array" ref="P300">K300*O300</f>
        <v>15603.603000000001</v>
      </c>
      <c r="Q300" s="7">
        <f t="array" ref="Q300">L300*O300</f>
        <v>9095.9</v>
      </c>
      <c r="R300" s="7">
        <f t="array" ref="R300">N300*K300</f>
        <v>5467280.5800000001</v>
      </c>
      <c r="S300" s="7">
        <f t="array" ref="S300">N300*K300*O300</f>
        <v>4520894311.6020002</v>
      </c>
    </row>
    <row r="301" spans="1:19" ht="14.25" customHeight="1" x14ac:dyDescent="0.3">
      <c r="A301">
        <v>300</v>
      </c>
      <c r="B301" s="12">
        <v>45323</v>
      </c>
      <c r="C301" s="5">
        <v>2024</v>
      </c>
      <c r="D301" s="5" t="s">
        <v>18</v>
      </c>
      <c r="E301" s="5" t="s">
        <v>19</v>
      </c>
      <c r="F301" s="6" t="s">
        <v>54</v>
      </c>
      <c r="G301" s="6" t="s">
        <v>21</v>
      </c>
      <c r="H301" s="9" t="s">
        <v>28</v>
      </c>
      <c r="I301" s="9" t="s">
        <v>32</v>
      </c>
      <c r="J301" s="9" t="s">
        <v>31</v>
      </c>
      <c r="K301" s="7">
        <v>10.39</v>
      </c>
      <c r="L301" s="7">
        <v>7.3</v>
      </c>
      <c r="M301" s="8">
        <v>0.29699999999999999</v>
      </c>
      <c r="N301" s="10">
        <v>60183</v>
      </c>
      <c r="O301" s="7">
        <v>826.9</v>
      </c>
      <c r="P301" s="7">
        <f t="array" ref="P301">K301*O301</f>
        <v>8591.491</v>
      </c>
      <c r="Q301" s="7">
        <f t="array" ref="Q301">L301*O301</f>
        <v>6036.37</v>
      </c>
      <c r="R301" s="7">
        <f t="array" ref="R301">N301*K301</f>
        <v>625301.37</v>
      </c>
      <c r="S301" s="7">
        <f t="array" ref="S301">N301*K301*O301</f>
        <v>517061702.85299999</v>
      </c>
    </row>
    <row r="302" spans="1:19" ht="14.25" customHeight="1" x14ac:dyDescent="0.3">
      <c r="A302">
        <v>301</v>
      </c>
      <c r="B302" s="12">
        <v>45323</v>
      </c>
      <c r="C302" s="5">
        <v>2024</v>
      </c>
      <c r="D302" s="5" t="s">
        <v>39</v>
      </c>
      <c r="E302" s="5" t="s">
        <v>65</v>
      </c>
      <c r="F302" s="6" t="s">
        <v>20</v>
      </c>
      <c r="G302" s="6" t="s">
        <v>21</v>
      </c>
      <c r="H302" s="9" t="s">
        <v>38</v>
      </c>
      <c r="I302" s="9" t="s">
        <v>29</v>
      </c>
      <c r="J302" s="9" t="s">
        <v>22</v>
      </c>
      <c r="K302" s="7">
        <v>13.68</v>
      </c>
      <c r="L302" s="7">
        <v>10.220000000000001</v>
      </c>
      <c r="M302" s="8">
        <v>0.253</v>
      </c>
      <c r="N302" s="10">
        <v>174677</v>
      </c>
      <c r="O302" s="7">
        <v>826.9</v>
      </c>
      <c r="P302" s="7">
        <f t="array" ref="P302">K302*O302</f>
        <v>11311.992</v>
      </c>
      <c r="Q302" s="7">
        <f t="array" ref="Q302">L302*O302</f>
        <v>8450.9179999999997</v>
      </c>
      <c r="R302" s="7">
        <f t="array" ref="R302">N302*K302</f>
        <v>2389581.36</v>
      </c>
      <c r="S302" s="7">
        <f t="array" ref="S302">N302*K302*O302</f>
        <v>1975944826.5839999</v>
      </c>
    </row>
    <row r="303" spans="1:19" ht="14.25" customHeight="1" x14ac:dyDescent="0.3">
      <c r="A303">
        <v>302</v>
      </c>
      <c r="B303" s="12">
        <v>45352</v>
      </c>
      <c r="C303" s="5">
        <v>2024</v>
      </c>
      <c r="D303" s="5" t="s">
        <v>18</v>
      </c>
      <c r="E303" s="5" t="s">
        <v>61</v>
      </c>
      <c r="F303" s="6" t="s">
        <v>20</v>
      </c>
      <c r="G303" s="6" t="s">
        <v>21</v>
      </c>
      <c r="H303" s="9" t="s">
        <v>28</v>
      </c>
      <c r="I303" s="9" t="s">
        <v>32</v>
      </c>
      <c r="J303" s="9" t="s">
        <v>22</v>
      </c>
      <c r="K303" s="7">
        <v>5.82</v>
      </c>
      <c r="L303" s="7">
        <v>4.51</v>
      </c>
      <c r="M303" s="8">
        <v>0.22500000000000001</v>
      </c>
      <c r="N303" s="10">
        <v>102465</v>
      </c>
      <c r="O303" s="7">
        <v>842.5</v>
      </c>
      <c r="P303" s="7">
        <f t="array" ref="P303">K303*O303</f>
        <v>4903.3500000000004</v>
      </c>
      <c r="Q303" s="7">
        <f t="array" ref="Q303">L303*O303</f>
        <v>3799.6749999999997</v>
      </c>
      <c r="R303" s="7">
        <f t="array" ref="R303">N303*K303</f>
        <v>596346.30000000005</v>
      </c>
      <c r="S303" s="7">
        <f t="array" ref="S303">N303*K303*O303</f>
        <v>502421757.75000006</v>
      </c>
    </row>
    <row r="304" spans="1:19" ht="14.25" customHeight="1" x14ac:dyDescent="0.3">
      <c r="A304">
        <v>303</v>
      </c>
      <c r="B304" s="12">
        <v>45352</v>
      </c>
      <c r="C304" s="5">
        <v>2024</v>
      </c>
      <c r="D304" s="5" t="s">
        <v>25</v>
      </c>
      <c r="E304" s="5" t="s">
        <v>70</v>
      </c>
      <c r="F304" s="6" t="s">
        <v>63</v>
      </c>
      <c r="G304" s="6" t="s">
        <v>21</v>
      </c>
      <c r="H304" s="9" t="s">
        <v>38</v>
      </c>
      <c r="I304" s="9" t="s">
        <v>32</v>
      </c>
      <c r="J304" s="9" t="s">
        <v>31</v>
      </c>
      <c r="K304" s="7">
        <v>7.77</v>
      </c>
      <c r="L304" s="7">
        <v>5.21</v>
      </c>
      <c r="M304" s="8">
        <v>0.32900000000000001</v>
      </c>
      <c r="N304" s="10">
        <v>198849</v>
      </c>
      <c r="O304" s="7">
        <v>842.5</v>
      </c>
      <c r="P304" s="7">
        <f t="array" ref="P304">K304*O304</f>
        <v>6546.2249999999995</v>
      </c>
      <c r="Q304" s="7">
        <f t="array" ref="Q304">L304*O304</f>
        <v>4389.4250000000002</v>
      </c>
      <c r="R304" s="7">
        <f t="array" ref="R304">N304*K304</f>
        <v>1545056.73</v>
      </c>
      <c r="S304" s="7">
        <f t="array" ref="S304">N304*K304*O304</f>
        <v>1301710295.0250001</v>
      </c>
    </row>
    <row r="305" spans="1:19" ht="14.25" customHeight="1" x14ac:dyDescent="0.3">
      <c r="A305">
        <v>304</v>
      </c>
      <c r="B305" s="12">
        <v>45352</v>
      </c>
      <c r="C305" s="5">
        <v>2024</v>
      </c>
      <c r="D305" s="5" t="s">
        <v>25</v>
      </c>
      <c r="E305" s="5" t="s">
        <v>53</v>
      </c>
      <c r="F305" s="6" t="s">
        <v>63</v>
      </c>
      <c r="G305" s="6" t="s">
        <v>21</v>
      </c>
      <c r="H305" s="9" t="s">
        <v>23</v>
      </c>
      <c r="I305" s="9" t="s">
        <v>32</v>
      </c>
      <c r="J305" s="9" t="s">
        <v>49</v>
      </c>
      <c r="K305" s="7">
        <v>17.37</v>
      </c>
      <c r="L305" s="7">
        <v>13.48</v>
      </c>
      <c r="M305" s="8">
        <v>0.224</v>
      </c>
      <c r="N305" s="10">
        <v>220267</v>
      </c>
      <c r="O305" s="7">
        <v>842.5</v>
      </c>
      <c r="P305" s="7">
        <f t="array" ref="P305">K305*O305</f>
        <v>14634.225</v>
      </c>
      <c r="Q305" s="7">
        <f t="array" ref="Q305">L305*O305</f>
        <v>11356.9</v>
      </c>
      <c r="R305" s="7">
        <f t="array" ref="R305">N305*K305</f>
        <v>3826037.79</v>
      </c>
      <c r="S305" s="7">
        <f t="array" ref="S305">N305*K305*O305</f>
        <v>3223436838.0749998</v>
      </c>
    </row>
    <row r="306" spans="1:19" ht="14.25" customHeight="1" x14ac:dyDescent="0.3">
      <c r="A306">
        <v>305</v>
      </c>
      <c r="B306" s="12">
        <v>45352</v>
      </c>
      <c r="C306" s="5">
        <v>2024</v>
      </c>
      <c r="D306" s="5" t="s">
        <v>39</v>
      </c>
      <c r="E306" s="5" t="s">
        <v>58</v>
      </c>
      <c r="F306" s="6" t="s">
        <v>48</v>
      </c>
      <c r="G306" s="6" t="s">
        <v>21</v>
      </c>
      <c r="H306" s="9" t="s">
        <v>23</v>
      </c>
      <c r="I306" s="9" t="s">
        <v>32</v>
      </c>
      <c r="J306" s="9" t="s">
        <v>22</v>
      </c>
      <c r="K306" s="7">
        <v>10.93</v>
      </c>
      <c r="L306" s="7">
        <v>5.77</v>
      </c>
      <c r="M306" s="8">
        <v>0.47199999999999998</v>
      </c>
      <c r="N306" s="10">
        <v>51684</v>
      </c>
      <c r="O306" s="7">
        <v>842.5</v>
      </c>
      <c r="P306" s="7">
        <f t="array" ref="P306">K306*O306</f>
        <v>9208.5249999999996</v>
      </c>
      <c r="Q306" s="7">
        <f t="array" ref="Q306">L306*O306</f>
        <v>4861.2249999999995</v>
      </c>
      <c r="R306" s="7">
        <f t="array" ref="R306">N306*K306</f>
        <v>564906.12</v>
      </c>
      <c r="S306" s="7">
        <f t="array" ref="S306">N306*K306*O306</f>
        <v>475933406.10000002</v>
      </c>
    </row>
    <row r="307" spans="1:19" ht="14.25" customHeight="1" x14ac:dyDescent="0.3">
      <c r="A307">
        <v>306</v>
      </c>
      <c r="B307" s="12">
        <v>45352</v>
      </c>
      <c r="C307" s="5">
        <v>2024</v>
      </c>
      <c r="D307" s="5" t="s">
        <v>50</v>
      </c>
      <c r="E307" s="5" t="s">
        <v>60</v>
      </c>
      <c r="F307" s="6" t="s">
        <v>62</v>
      </c>
      <c r="G307" s="6" t="s">
        <v>21</v>
      </c>
      <c r="H307" s="9" t="s">
        <v>28</v>
      </c>
      <c r="I307" s="9" t="s">
        <v>32</v>
      </c>
      <c r="J307" s="9" t="s">
        <v>22</v>
      </c>
      <c r="K307" s="7">
        <v>8.32</v>
      </c>
      <c r="L307" s="7">
        <v>5.52</v>
      </c>
      <c r="M307" s="8">
        <v>0.33700000000000002</v>
      </c>
      <c r="N307" s="10">
        <v>121502</v>
      </c>
      <c r="O307" s="7">
        <v>842.5</v>
      </c>
      <c r="P307" s="7">
        <f t="array" ref="P307">K307*O307</f>
        <v>7009.6</v>
      </c>
      <c r="Q307" s="7">
        <f t="array" ref="Q307">L307*O307</f>
        <v>4650.5999999999995</v>
      </c>
      <c r="R307" s="7">
        <f t="array" ref="R307">N307*K307</f>
        <v>1010896.64</v>
      </c>
      <c r="S307" s="7">
        <f t="array" ref="S307">N307*K307*O307</f>
        <v>851680419.20000005</v>
      </c>
    </row>
    <row r="308" spans="1:19" ht="14.25" customHeight="1" x14ac:dyDescent="0.3">
      <c r="A308">
        <v>307</v>
      </c>
      <c r="B308" s="12">
        <v>45352</v>
      </c>
      <c r="C308" s="5">
        <v>2024</v>
      </c>
      <c r="D308" s="5" t="s">
        <v>50</v>
      </c>
      <c r="E308" s="5" t="s">
        <v>51</v>
      </c>
      <c r="F308" s="6" t="s">
        <v>52</v>
      </c>
      <c r="G308" s="6" t="s">
        <v>36</v>
      </c>
      <c r="H308" s="9" t="s">
        <v>23</v>
      </c>
      <c r="I308" s="9" t="s">
        <v>29</v>
      </c>
      <c r="J308" s="9" t="s">
        <v>22</v>
      </c>
      <c r="K308" s="7">
        <v>10.78</v>
      </c>
      <c r="L308" s="7">
        <v>7.51</v>
      </c>
      <c r="M308" s="8">
        <v>0.30299999999999999</v>
      </c>
      <c r="N308" s="10">
        <v>173644</v>
      </c>
      <c r="O308" s="7">
        <v>842.5</v>
      </c>
      <c r="P308" s="7">
        <f t="array" ref="P308">K308*O308</f>
        <v>9082.15</v>
      </c>
      <c r="Q308" s="7">
        <f t="array" ref="Q308">L308*O308</f>
        <v>6327.1750000000002</v>
      </c>
      <c r="R308" s="7">
        <f t="array" ref="R308">N308*K308</f>
        <v>1871882.3199999998</v>
      </c>
      <c r="S308" s="7">
        <f t="array" ref="S308">N308*K308*O308</f>
        <v>1577060854.5999999</v>
      </c>
    </row>
    <row r="309" spans="1:19" ht="14.25" customHeight="1" x14ac:dyDescent="0.3">
      <c r="A309">
        <v>308</v>
      </c>
      <c r="B309" s="12">
        <v>45352</v>
      </c>
      <c r="C309" s="5">
        <v>2024</v>
      </c>
      <c r="D309" s="5" t="s">
        <v>25</v>
      </c>
      <c r="E309" s="5" t="s">
        <v>26</v>
      </c>
      <c r="F309" s="6" t="s">
        <v>30</v>
      </c>
      <c r="G309" s="6" t="s">
        <v>21</v>
      </c>
      <c r="H309" s="9" t="s">
        <v>23</v>
      </c>
      <c r="I309" s="9" t="s">
        <v>32</v>
      </c>
      <c r="J309" s="9" t="s">
        <v>31</v>
      </c>
      <c r="K309" s="7">
        <v>14.23</v>
      </c>
      <c r="L309" s="7">
        <v>10.39</v>
      </c>
      <c r="M309" s="8">
        <v>0.27</v>
      </c>
      <c r="N309" s="10">
        <v>201950</v>
      </c>
      <c r="O309" s="7">
        <v>842.5</v>
      </c>
      <c r="P309" s="7">
        <f t="array" ref="P309">K309*O309</f>
        <v>11988.775</v>
      </c>
      <c r="Q309" s="7">
        <f t="array" ref="Q309">L309*O309</f>
        <v>8753.5750000000007</v>
      </c>
      <c r="R309" s="7">
        <f t="array" ref="R309">N309*K309</f>
        <v>2873748.5</v>
      </c>
      <c r="S309" s="7">
        <f t="array" ref="S309">N309*K309*O309</f>
        <v>2421133111.25</v>
      </c>
    </row>
    <row r="310" spans="1:19" ht="14.25" customHeight="1" x14ac:dyDescent="0.3">
      <c r="A310">
        <v>309</v>
      </c>
      <c r="B310" s="12">
        <v>45352</v>
      </c>
      <c r="C310" s="5">
        <v>2024</v>
      </c>
      <c r="D310" s="5" t="s">
        <v>42</v>
      </c>
      <c r="E310" s="5" t="s">
        <v>68</v>
      </c>
      <c r="F310" s="6" t="s">
        <v>44</v>
      </c>
      <c r="G310" s="6" t="s">
        <v>21</v>
      </c>
      <c r="H310" s="9" t="s">
        <v>28</v>
      </c>
      <c r="I310" s="9" t="s">
        <v>46</v>
      </c>
      <c r="J310" s="9" t="s">
        <v>31</v>
      </c>
      <c r="K310" s="7">
        <v>6.12</v>
      </c>
      <c r="L310" s="7">
        <v>4.03</v>
      </c>
      <c r="M310" s="8">
        <v>0.34200000000000003</v>
      </c>
      <c r="N310" s="10">
        <v>141494</v>
      </c>
      <c r="O310" s="7">
        <v>842.5</v>
      </c>
      <c r="P310" s="7">
        <f t="array" ref="P310">K310*O310</f>
        <v>5156.1000000000004</v>
      </c>
      <c r="Q310" s="7">
        <f t="array" ref="Q310">L310*O310</f>
        <v>3395.2750000000001</v>
      </c>
      <c r="R310" s="7">
        <f t="array" ref="R310">N310*K310</f>
        <v>865943.28</v>
      </c>
      <c r="S310" s="7">
        <f t="array" ref="S310">N310*K310*O310</f>
        <v>729557213.39999998</v>
      </c>
    </row>
    <row r="311" spans="1:19" ht="14.25" customHeight="1" x14ac:dyDescent="0.3">
      <c r="A311">
        <v>310</v>
      </c>
      <c r="B311" s="12">
        <v>45352</v>
      </c>
      <c r="C311" s="5">
        <v>2024</v>
      </c>
      <c r="D311" s="5" t="s">
        <v>50</v>
      </c>
      <c r="E311" s="5" t="s">
        <v>51</v>
      </c>
      <c r="F311" s="6" t="s">
        <v>56</v>
      </c>
      <c r="G311" s="6" t="s">
        <v>21</v>
      </c>
      <c r="H311" s="9" t="s">
        <v>28</v>
      </c>
      <c r="I311" s="9" t="s">
        <v>32</v>
      </c>
      <c r="J311" s="9" t="s">
        <v>22</v>
      </c>
      <c r="K311" s="7">
        <v>8.6</v>
      </c>
      <c r="L311" s="7">
        <v>4.46</v>
      </c>
      <c r="M311" s="8">
        <v>0.48099999999999998</v>
      </c>
      <c r="N311" s="10">
        <v>206350</v>
      </c>
      <c r="O311" s="7">
        <v>842.5</v>
      </c>
      <c r="P311" s="7">
        <f t="array" ref="P311">K311*O311</f>
        <v>7245.5</v>
      </c>
      <c r="Q311" s="7">
        <f t="array" ref="Q311">L311*O311</f>
        <v>3757.55</v>
      </c>
      <c r="R311" s="7">
        <f t="array" ref="R311">N311*K311</f>
        <v>1774610</v>
      </c>
      <c r="S311" s="7">
        <f t="array" ref="S311">N311*K311*O311</f>
        <v>1495108925</v>
      </c>
    </row>
    <row r="312" spans="1:19" ht="14.25" customHeight="1" x14ac:dyDescent="0.3">
      <c r="A312">
        <v>311</v>
      </c>
      <c r="B312" s="12">
        <v>45352</v>
      </c>
      <c r="C312" s="5">
        <v>2024</v>
      </c>
      <c r="D312" s="5" t="s">
        <v>25</v>
      </c>
      <c r="E312" s="5" t="s">
        <v>26</v>
      </c>
      <c r="F312" s="6" t="s">
        <v>30</v>
      </c>
      <c r="G312" s="6" t="s">
        <v>21</v>
      </c>
      <c r="H312" s="9" t="s">
        <v>23</v>
      </c>
      <c r="I312" s="9" t="s">
        <v>29</v>
      </c>
      <c r="J312" s="9" t="s">
        <v>31</v>
      </c>
      <c r="K312" s="7">
        <v>15.32</v>
      </c>
      <c r="L312" s="7">
        <v>7.78</v>
      </c>
      <c r="M312" s="8">
        <v>0.49199999999999999</v>
      </c>
      <c r="N312" s="10">
        <v>251123</v>
      </c>
      <c r="O312" s="7">
        <v>842.5</v>
      </c>
      <c r="P312" s="7">
        <f t="array" ref="P312">K312*O312</f>
        <v>12907.1</v>
      </c>
      <c r="Q312" s="7">
        <f t="array" ref="Q312">L312*O312</f>
        <v>6554.6500000000005</v>
      </c>
      <c r="R312" s="7">
        <f t="array" ref="R312">N312*K312</f>
        <v>3847204.36</v>
      </c>
      <c r="S312" s="7">
        <f t="array" ref="S312">N312*K312*O312</f>
        <v>3241269673.2999997</v>
      </c>
    </row>
    <row r="313" spans="1:19" ht="14.25" customHeight="1" x14ac:dyDescent="0.3">
      <c r="A313">
        <v>312</v>
      </c>
      <c r="B313" s="12">
        <v>45352</v>
      </c>
      <c r="C313" s="5">
        <v>2024</v>
      </c>
      <c r="D313" s="5" t="s">
        <v>50</v>
      </c>
      <c r="E313" s="5" t="s">
        <v>60</v>
      </c>
      <c r="F313" s="6" t="s">
        <v>52</v>
      </c>
      <c r="G313" s="6" t="s">
        <v>21</v>
      </c>
      <c r="H313" s="9" t="s">
        <v>23</v>
      </c>
      <c r="I313" s="9" t="s">
        <v>29</v>
      </c>
      <c r="J313" s="9" t="s">
        <v>22</v>
      </c>
      <c r="K313" s="7">
        <v>7.42</v>
      </c>
      <c r="L313" s="7">
        <v>4.43</v>
      </c>
      <c r="M313" s="8">
        <v>0.40300000000000002</v>
      </c>
      <c r="N313" s="10">
        <v>258889</v>
      </c>
      <c r="O313" s="7">
        <v>842.5</v>
      </c>
      <c r="P313" s="7">
        <f t="array" ref="P313">K313*O313</f>
        <v>6251.35</v>
      </c>
      <c r="Q313" s="7">
        <f t="array" ref="Q313">L313*O313</f>
        <v>3732.2749999999996</v>
      </c>
      <c r="R313" s="7">
        <f t="array" ref="R313">N313*K313</f>
        <v>1920956.38</v>
      </c>
      <c r="S313" s="7">
        <f t="array" ref="S313">N313*K313*O313</f>
        <v>1618405750.1499999</v>
      </c>
    </row>
    <row r="314" spans="1:19" ht="14.25" customHeight="1" x14ac:dyDescent="0.3">
      <c r="A314">
        <v>313</v>
      </c>
      <c r="B314" s="12">
        <v>45352</v>
      </c>
      <c r="C314" s="5">
        <v>2024</v>
      </c>
      <c r="D314" s="5" t="s">
        <v>39</v>
      </c>
      <c r="E314" s="5" t="s">
        <v>65</v>
      </c>
      <c r="F314" s="6" t="s">
        <v>41</v>
      </c>
      <c r="G314" s="6" t="s">
        <v>21</v>
      </c>
      <c r="H314" s="9" t="s">
        <v>23</v>
      </c>
      <c r="I314" s="9" t="s">
        <v>29</v>
      </c>
      <c r="J314" s="9" t="s">
        <v>49</v>
      </c>
      <c r="K314" s="7">
        <v>7.5</v>
      </c>
      <c r="L314" s="7">
        <v>4</v>
      </c>
      <c r="M314" s="8">
        <v>0.46700000000000003</v>
      </c>
      <c r="N314" s="10">
        <v>90066</v>
      </c>
      <c r="O314" s="7">
        <v>842.5</v>
      </c>
      <c r="P314" s="7">
        <f t="array" ref="P314">K314*O314</f>
        <v>6318.75</v>
      </c>
      <c r="Q314" s="7">
        <f t="array" ref="Q314">L314*O314</f>
        <v>3370</v>
      </c>
      <c r="R314" s="7">
        <f t="array" ref="R314">N314*K314</f>
        <v>675495</v>
      </c>
      <c r="S314" s="7">
        <f t="array" ref="S314">N314*K314*O314</f>
        <v>569104537.5</v>
      </c>
    </row>
    <row r="315" spans="1:19" ht="14.25" customHeight="1" x14ac:dyDescent="0.3">
      <c r="A315">
        <v>314</v>
      </c>
      <c r="B315" s="12">
        <v>45352</v>
      </c>
      <c r="C315" s="5">
        <v>2024</v>
      </c>
      <c r="D315" s="5" t="s">
        <v>33</v>
      </c>
      <c r="E315" s="5" t="s">
        <v>37</v>
      </c>
      <c r="F315" s="6" t="s">
        <v>35</v>
      </c>
      <c r="G315" s="6" t="s">
        <v>21</v>
      </c>
      <c r="H315" s="9" t="s">
        <v>28</v>
      </c>
      <c r="I315" s="9" t="s">
        <v>32</v>
      </c>
      <c r="J315" s="9" t="s">
        <v>31</v>
      </c>
      <c r="K315" s="7">
        <v>19.13</v>
      </c>
      <c r="L315" s="7">
        <v>10.38</v>
      </c>
      <c r="M315" s="8">
        <v>0.45700000000000002</v>
      </c>
      <c r="N315" s="10">
        <v>164328</v>
      </c>
      <c r="O315" s="7">
        <v>842.5</v>
      </c>
      <c r="P315" s="7">
        <f t="array" ref="P315">K315*O315</f>
        <v>16117.025</v>
      </c>
      <c r="Q315" s="7">
        <f t="array" ref="Q315">L315*O315</f>
        <v>8745.1500000000015</v>
      </c>
      <c r="R315" s="7">
        <f t="array" ref="R315">N315*K315</f>
        <v>3143594.6399999997</v>
      </c>
      <c r="S315" s="7">
        <f t="array" ref="S315">N315*K315*O315</f>
        <v>2648478484.1999998</v>
      </c>
    </row>
    <row r="316" spans="1:19" ht="14.25" customHeight="1" x14ac:dyDescent="0.3">
      <c r="A316">
        <v>315</v>
      </c>
      <c r="B316" s="12">
        <v>45352</v>
      </c>
      <c r="C316" s="5">
        <v>2024</v>
      </c>
      <c r="D316" s="5" t="s">
        <v>39</v>
      </c>
      <c r="E316" s="5" t="s">
        <v>58</v>
      </c>
      <c r="F316" s="6" t="s">
        <v>48</v>
      </c>
      <c r="G316" s="6" t="s">
        <v>21</v>
      </c>
      <c r="H316" s="9" t="s">
        <v>23</v>
      </c>
      <c r="I316" s="9" t="s">
        <v>29</v>
      </c>
      <c r="J316" s="9" t="s">
        <v>22</v>
      </c>
      <c r="K316" s="7">
        <v>16.39</v>
      </c>
      <c r="L316" s="7">
        <v>8.31</v>
      </c>
      <c r="M316" s="8">
        <v>0.49299999999999999</v>
      </c>
      <c r="N316" s="10">
        <v>54656</v>
      </c>
      <c r="O316" s="7">
        <v>842.5</v>
      </c>
      <c r="P316" s="7">
        <f t="array" ref="P316">K316*O316</f>
        <v>13808.575000000001</v>
      </c>
      <c r="Q316" s="7">
        <f t="array" ref="Q316">L316*O316</f>
        <v>7001.1750000000002</v>
      </c>
      <c r="R316" s="7">
        <f t="array" ref="R316">N316*K316</f>
        <v>895811.84000000008</v>
      </c>
      <c r="S316" s="7">
        <f t="array" ref="S316">N316*K316*O316</f>
        <v>754721475.20000005</v>
      </c>
    </row>
    <row r="317" spans="1:19" ht="14.25" customHeight="1" x14ac:dyDescent="0.3">
      <c r="A317">
        <v>316</v>
      </c>
      <c r="B317" s="12">
        <v>45352</v>
      </c>
      <c r="C317" s="5">
        <v>2024</v>
      </c>
      <c r="D317" s="5" t="s">
        <v>50</v>
      </c>
      <c r="E317" s="5" t="s">
        <v>67</v>
      </c>
      <c r="F317" s="6" t="s">
        <v>62</v>
      </c>
      <c r="G317" s="6" t="s">
        <v>64</v>
      </c>
      <c r="H317" s="9" t="s">
        <v>38</v>
      </c>
      <c r="I317" s="9" t="s">
        <v>24</v>
      </c>
      <c r="J317" s="9" t="s">
        <v>49</v>
      </c>
      <c r="K317" s="7">
        <v>13.52</v>
      </c>
      <c r="L317" s="7">
        <v>8.9</v>
      </c>
      <c r="M317" s="8">
        <v>0.34200000000000003</v>
      </c>
      <c r="N317" s="10">
        <v>270601</v>
      </c>
      <c r="O317" s="7">
        <v>842.5</v>
      </c>
      <c r="P317" s="7">
        <f t="array" ref="P317">K317*O317</f>
        <v>11390.6</v>
      </c>
      <c r="Q317" s="7">
        <f t="array" ref="Q317">L317*O317</f>
        <v>7498.25</v>
      </c>
      <c r="R317" s="7">
        <f t="array" ref="R317">N317*K317</f>
        <v>3658525.52</v>
      </c>
      <c r="S317" s="7">
        <f t="array" ref="S317">N317*K317*O317</f>
        <v>3082307750.5999999</v>
      </c>
    </row>
    <row r="318" spans="1:19" ht="14.25" customHeight="1" x14ac:dyDescent="0.3">
      <c r="A318">
        <v>317</v>
      </c>
      <c r="B318" s="12">
        <v>45352</v>
      </c>
      <c r="C318" s="5">
        <v>2024</v>
      </c>
      <c r="D318" s="5" t="s">
        <v>25</v>
      </c>
      <c r="E318" s="5" t="s">
        <v>26</v>
      </c>
      <c r="F318" s="6" t="s">
        <v>27</v>
      </c>
      <c r="G318" s="6" t="s">
        <v>21</v>
      </c>
      <c r="H318" s="9" t="s">
        <v>23</v>
      </c>
      <c r="I318" s="9" t="s">
        <v>32</v>
      </c>
      <c r="J318" s="9" t="s">
        <v>49</v>
      </c>
      <c r="K318" s="7">
        <v>17.39</v>
      </c>
      <c r="L318" s="7">
        <v>12.84</v>
      </c>
      <c r="M318" s="8">
        <v>0.26200000000000001</v>
      </c>
      <c r="N318" s="10">
        <v>254168</v>
      </c>
      <c r="O318" s="7">
        <v>842.5</v>
      </c>
      <c r="P318" s="7">
        <f t="array" ref="P318">K318*O318</f>
        <v>14651.075000000001</v>
      </c>
      <c r="Q318" s="7">
        <f t="array" ref="Q318">L318*O318</f>
        <v>10817.7</v>
      </c>
      <c r="R318" s="7">
        <f t="array" ref="R318">N318*K318</f>
        <v>4419981.5200000005</v>
      </c>
      <c r="S318" s="7">
        <f t="array" ref="S318">N318*K318*O318</f>
        <v>3723834430.6000004</v>
      </c>
    </row>
    <row r="319" spans="1:19" ht="14.25" customHeight="1" x14ac:dyDescent="0.3">
      <c r="A319">
        <v>318</v>
      </c>
      <c r="B319" s="12">
        <v>45352</v>
      </c>
      <c r="C319" s="5">
        <v>2024</v>
      </c>
      <c r="D319" s="5" t="s">
        <v>18</v>
      </c>
      <c r="E319" s="5" t="s">
        <v>59</v>
      </c>
      <c r="F319" s="6" t="s">
        <v>20</v>
      </c>
      <c r="G319" s="6" t="s">
        <v>36</v>
      </c>
      <c r="H319" s="9" t="s">
        <v>23</v>
      </c>
      <c r="I319" s="9" t="s">
        <v>24</v>
      </c>
      <c r="J319" s="9" t="s">
        <v>49</v>
      </c>
      <c r="K319" s="7">
        <v>18.39</v>
      </c>
      <c r="L319" s="7">
        <v>11.96</v>
      </c>
      <c r="M319" s="8">
        <v>0.35</v>
      </c>
      <c r="N319" s="10">
        <v>257476</v>
      </c>
      <c r="O319" s="7">
        <v>842.5</v>
      </c>
      <c r="P319" s="7">
        <f t="array" ref="P319">K319*O319</f>
        <v>15493.575000000001</v>
      </c>
      <c r="Q319" s="7">
        <f t="array" ref="Q319">L319*O319</f>
        <v>10076.300000000001</v>
      </c>
      <c r="R319" s="7">
        <f t="array" ref="R319">N319*K319</f>
        <v>4734983.6400000006</v>
      </c>
      <c r="S319" s="7">
        <f t="array" ref="S319">N319*K319*O319</f>
        <v>3989223716.7000003</v>
      </c>
    </row>
    <row r="320" spans="1:19" ht="14.25" customHeight="1" x14ac:dyDescent="0.3">
      <c r="A320">
        <v>319</v>
      </c>
      <c r="B320" s="12">
        <v>45352</v>
      </c>
      <c r="C320" s="5">
        <v>2024</v>
      </c>
      <c r="D320" s="5" t="s">
        <v>39</v>
      </c>
      <c r="E320" s="5" t="s">
        <v>65</v>
      </c>
      <c r="F320" s="6" t="s">
        <v>48</v>
      </c>
      <c r="G320" s="6" t="s">
        <v>36</v>
      </c>
      <c r="H320" s="9" t="s">
        <v>23</v>
      </c>
      <c r="I320" s="9" t="s">
        <v>46</v>
      </c>
      <c r="J320" s="9" t="s">
        <v>49</v>
      </c>
      <c r="K320" s="7">
        <v>19.149999999999999</v>
      </c>
      <c r="L320" s="7">
        <v>12.42</v>
      </c>
      <c r="M320" s="8">
        <v>0.35099999999999998</v>
      </c>
      <c r="N320" s="10">
        <v>191542</v>
      </c>
      <c r="O320" s="7">
        <v>842.5</v>
      </c>
      <c r="P320" s="7">
        <f t="array" ref="P320">K320*O320</f>
        <v>16133.874999999998</v>
      </c>
      <c r="Q320" s="7">
        <f t="array" ref="Q320">L320*O320</f>
        <v>10463.85</v>
      </c>
      <c r="R320" s="7">
        <f t="array" ref="R320">N320*K320</f>
        <v>3668029.3</v>
      </c>
      <c r="S320" s="7">
        <f t="array" ref="S320">N320*K320*O320</f>
        <v>3090314685.25</v>
      </c>
    </row>
    <row r="321" spans="1:19" ht="14.25" customHeight="1" x14ac:dyDescent="0.3">
      <c r="A321">
        <v>320</v>
      </c>
      <c r="B321" s="12">
        <v>45352</v>
      </c>
      <c r="C321" s="5">
        <v>2024</v>
      </c>
      <c r="D321" s="5" t="s">
        <v>39</v>
      </c>
      <c r="E321" s="5" t="s">
        <v>40</v>
      </c>
      <c r="F321" s="6" t="s">
        <v>41</v>
      </c>
      <c r="G321" s="6" t="s">
        <v>36</v>
      </c>
      <c r="H321" s="9" t="s">
        <v>23</v>
      </c>
      <c r="I321" s="9" t="s">
        <v>32</v>
      </c>
      <c r="J321" s="9" t="s">
        <v>31</v>
      </c>
      <c r="K321" s="7">
        <v>12.89</v>
      </c>
      <c r="L321" s="7">
        <v>10.199999999999999</v>
      </c>
      <c r="M321" s="8">
        <v>0.20899999999999999</v>
      </c>
      <c r="N321" s="10">
        <v>160663</v>
      </c>
      <c r="O321" s="7">
        <v>842.5</v>
      </c>
      <c r="P321" s="7">
        <f t="array" ref="P321">K321*O321</f>
        <v>10859.825000000001</v>
      </c>
      <c r="Q321" s="7">
        <f t="array" ref="Q321">L321*O321</f>
        <v>8593.5</v>
      </c>
      <c r="R321" s="7">
        <f t="array" ref="R321">N321*K321</f>
        <v>2070946.07</v>
      </c>
      <c r="S321" s="7">
        <f t="array" ref="S321">N321*K321*O321</f>
        <v>1744772063.9750001</v>
      </c>
    </row>
    <row r="322" spans="1:19" ht="14.25" customHeight="1" x14ac:dyDescent="0.3">
      <c r="A322">
        <v>321</v>
      </c>
      <c r="B322" s="12">
        <v>45352</v>
      </c>
      <c r="C322" s="5">
        <v>2024</v>
      </c>
      <c r="D322" s="5" t="s">
        <v>42</v>
      </c>
      <c r="E322" s="5" t="s">
        <v>43</v>
      </c>
      <c r="F322" s="6" t="s">
        <v>44</v>
      </c>
      <c r="G322" s="6" t="s">
        <v>21</v>
      </c>
      <c r="H322" s="9" t="s">
        <v>23</v>
      </c>
      <c r="I322" s="9" t="s">
        <v>32</v>
      </c>
      <c r="J322" s="9" t="s">
        <v>31</v>
      </c>
      <c r="K322" s="7">
        <v>16.98</v>
      </c>
      <c r="L322" s="7">
        <v>9.31</v>
      </c>
      <c r="M322" s="8">
        <v>0.45200000000000001</v>
      </c>
      <c r="N322" s="10">
        <v>237703</v>
      </c>
      <c r="O322" s="7">
        <v>842.5</v>
      </c>
      <c r="P322" s="7">
        <f t="array" ref="P322">K322*O322</f>
        <v>14305.65</v>
      </c>
      <c r="Q322" s="7">
        <f t="array" ref="Q322">L322*O322</f>
        <v>7843.6750000000002</v>
      </c>
      <c r="R322" s="7">
        <f t="array" ref="R322">N322*K322</f>
        <v>4036196.94</v>
      </c>
      <c r="S322" s="7">
        <f t="array" ref="S322">N322*K322*O322</f>
        <v>3400495921.9499998</v>
      </c>
    </row>
    <row r="323" spans="1:19" ht="14.25" customHeight="1" x14ac:dyDescent="0.3">
      <c r="A323">
        <v>322</v>
      </c>
      <c r="B323" s="12">
        <v>45352</v>
      </c>
      <c r="C323" s="5">
        <v>2024</v>
      </c>
      <c r="D323" s="5" t="s">
        <v>33</v>
      </c>
      <c r="E323" s="5" t="s">
        <v>57</v>
      </c>
      <c r="F323" s="6" t="s">
        <v>35</v>
      </c>
      <c r="G323" s="6" t="s">
        <v>21</v>
      </c>
      <c r="H323" s="9" t="s">
        <v>23</v>
      </c>
      <c r="I323" s="9" t="s">
        <v>32</v>
      </c>
      <c r="J323" s="9" t="s">
        <v>31</v>
      </c>
      <c r="K323" s="7">
        <v>14.53</v>
      </c>
      <c r="L323" s="7">
        <v>10.94</v>
      </c>
      <c r="M323" s="8">
        <v>0.247</v>
      </c>
      <c r="N323" s="10">
        <v>126987</v>
      </c>
      <c r="O323" s="7">
        <v>842.5</v>
      </c>
      <c r="P323" s="7">
        <f t="array" ref="P323">K323*O323</f>
        <v>12241.525</v>
      </c>
      <c r="Q323" s="7">
        <f t="array" ref="Q323">L323*O323</f>
        <v>9216.9499999999989</v>
      </c>
      <c r="R323" s="7">
        <f t="array" ref="R323">N323*K323</f>
        <v>1845121.1099999999</v>
      </c>
      <c r="S323" s="7">
        <f t="array" ref="S323">N323*K323*O323</f>
        <v>1554514535.175</v>
      </c>
    </row>
    <row r="324" spans="1:19" ht="14.25" customHeight="1" x14ac:dyDescent="0.3">
      <c r="A324">
        <v>323</v>
      </c>
      <c r="B324" s="12">
        <v>45352</v>
      </c>
      <c r="C324" s="5">
        <v>2024</v>
      </c>
      <c r="D324" s="5" t="s">
        <v>39</v>
      </c>
      <c r="E324" s="5" t="s">
        <v>40</v>
      </c>
      <c r="F324" s="6" t="s">
        <v>20</v>
      </c>
      <c r="G324" s="6" t="s">
        <v>36</v>
      </c>
      <c r="H324" s="9" t="s">
        <v>23</v>
      </c>
      <c r="I324" s="9" t="s">
        <v>24</v>
      </c>
      <c r="J324" s="9" t="s">
        <v>31</v>
      </c>
      <c r="K324" s="7">
        <v>5.57</v>
      </c>
      <c r="L324" s="7">
        <v>4.05</v>
      </c>
      <c r="M324" s="8">
        <v>0.27300000000000002</v>
      </c>
      <c r="N324" s="10">
        <v>137683</v>
      </c>
      <c r="O324" s="7">
        <v>842.5</v>
      </c>
      <c r="P324" s="7">
        <f t="array" ref="P324">K324*O324</f>
        <v>4692.7250000000004</v>
      </c>
      <c r="Q324" s="7">
        <f t="array" ref="Q324">L324*O324</f>
        <v>3412.125</v>
      </c>
      <c r="R324" s="7">
        <f t="array" ref="R324">N324*K324</f>
        <v>766894.31</v>
      </c>
      <c r="S324" s="7">
        <f t="array" ref="S324">N324*K324*O324</f>
        <v>646108456.17500007</v>
      </c>
    </row>
    <row r="325" spans="1:19" ht="14.25" customHeight="1" x14ac:dyDescent="0.3">
      <c r="A325">
        <v>324</v>
      </c>
      <c r="B325" s="12">
        <v>45352</v>
      </c>
      <c r="C325" s="5">
        <v>2024</v>
      </c>
      <c r="D325" s="5" t="s">
        <v>50</v>
      </c>
      <c r="E325" s="5" t="s">
        <v>60</v>
      </c>
      <c r="F325" s="6" t="s">
        <v>62</v>
      </c>
      <c r="G325" s="6" t="s">
        <v>21</v>
      </c>
      <c r="H325" s="9" t="s">
        <v>38</v>
      </c>
      <c r="I325" s="9" t="s">
        <v>24</v>
      </c>
      <c r="J325" s="9" t="s">
        <v>31</v>
      </c>
      <c r="K325" s="7">
        <v>13.03</v>
      </c>
      <c r="L325" s="7">
        <v>9.16</v>
      </c>
      <c r="M325" s="8">
        <v>0.29699999999999999</v>
      </c>
      <c r="N325" s="10">
        <v>81417</v>
      </c>
      <c r="O325" s="7">
        <v>842.5</v>
      </c>
      <c r="P325" s="7">
        <f t="array" ref="P325">K325*O325</f>
        <v>10977.775</v>
      </c>
      <c r="Q325" s="7">
        <f t="array" ref="Q325">L325*O325</f>
        <v>7717.3</v>
      </c>
      <c r="R325" s="7">
        <f t="array" ref="R325">N325*K325</f>
        <v>1060863.51</v>
      </c>
      <c r="S325" s="7">
        <f t="array" ref="S325">N325*K325*O325</f>
        <v>893777507.17499995</v>
      </c>
    </row>
    <row r="326" spans="1:19" ht="14.25" customHeight="1" x14ac:dyDescent="0.3">
      <c r="A326">
        <v>325</v>
      </c>
      <c r="B326" s="12">
        <v>45352</v>
      </c>
      <c r="C326" s="5">
        <v>2024</v>
      </c>
      <c r="D326" s="5" t="s">
        <v>39</v>
      </c>
      <c r="E326" s="5" t="s">
        <v>40</v>
      </c>
      <c r="F326" s="6" t="s">
        <v>41</v>
      </c>
      <c r="G326" s="6" t="s">
        <v>21</v>
      </c>
      <c r="H326" s="9" t="s">
        <v>28</v>
      </c>
      <c r="I326" s="9" t="s">
        <v>29</v>
      </c>
      <c r="J326" s="9" t="s">
        <v>22</v>
      </c>
      <c r="K326" s="7">
        <v>9.52</v>
      </c>
      <c r="L326" s="7">
        <v>5.98</v>
      </c>
      <c r="M326" s="8">
        <v>0.372</v>
      </c>
      <c r="N326" s="10">
        <v>141369</v>
      </c>
      <c r="O326" s="7">
        <v>842.5</v>
      </c>
      <c r="P326" s="7">
        <f t="array" ref="P326">K326*O326</f>
        <v>8020.5999999999995</v>
      </c>
      <c r="Q326" s="7">
        <f t="array" ref="Q326">L326*O326</f>
        <v>5038.1500000000005</v>
      </c>
      <c r="R326" s="7">
        <f t="array" ref="R326">N326*K326</f>
        <v>1345832.88</v>
      </c>
      <c r="S326" s="7">
        <f t="array" ref="S326">N326*K326*O326</f>
        <v>1133864201.3999999</v>
      </c>
    </row>
    <row r="327" spans="1:19" ht="14.25" customHeight="1" x14ac:dyDescent="0.3">
      <c r="A327">
        <v>326</v>
      </c>
      <c r="B327" s="12">
        <v>45383</v>
      </c>
      <c r="C327" s="5">
        <v>2024</v>
      </c>
      <c r="D327" s="5" t="s">
        <v>25</v>
      </c>
      <c r="E327" s="5" t="s">
        <v>26</v>
      </c>
      <c r="F327" s="6" t="s">
        <v>30</v>
      </c>
      <c r="G327" s="6" t="s">
        <v>21</v>
      </c>
      <c r="H327" s="9" t="s">
        <v>23</v>
      </c>
      <c r="I327" s="9" t="s">
        <v>32</v>
      </c>
      <c r="J327" s="9" t="s">
        <v>31</v>
      </c>
      <c r="K327" s="7">
        <v>14.17</v>
      </c>
      <c r="L327" s="7">
        <v>10.16</v>
      </c>
      <c r="M327" s="8">
        <v>0.28299999999999997</v>
      </c>
      <c r="N327" s="10">
        <v>54195</v>
      </c>
      <c r="O327" s="7">
        <v>859</v>
      </c>
      <c r="P327" s="7">
        <f t="array" ref="P327">K327*O327</f>
        <v>12172.03</v>
      </c>
      <c r="Q327" s="7">
        <f t="array" ref="Q327">L327*O327</f>
        <v>8727.44</v>
      </c>
      <c r="R327" s="7">
        <f t="array" ref="R327">N327*K327</f>
        <v>767943.15</v>
      </c>
      <c r="S327" s="7">
        <f t="array" ref="S327">N327*K327*O327</f>
        <v>659663165.85000002</v>
      </c>
    </row>
    <row r="328" spans="1:19" ht="14.25" customHeight="1" x14ac:dyDescent="0.3">
      <c r="A328">
        <v>327</v>
      </c>
      <c r="B328" s="12">
        <v>45383</v>
      </c>
      <c r="C328" s="5">
        <v>2024</v>
      </c>
      <c r="D328" s="5" t="s">
        <v>39</v>
      </c>
      <c r="E328" s="5" t="s">
        <v>58</v>
      </c>
      <c r="F328" s="6" t="s">
        <v>48</v>
      </c>
      <c r="G328" s="6" t="s">
        <v>36</v>
      </c>
      <c r="H328" s="9" t="s">
        <v>23</v>
      </c>
      <c r="I328" s="9" t="s">
        <v>32</v>
      </c>
      <c r="J328" s="9" t="s">
        <v>31</v>
      </c>
      <c r="K328" s="7">
        <v>18.98</v>
      </c>
      <c r="L328" s="7">
        <v>12.8</v>
      </c>
      <c r="M328" s="8">
        <v>0.32600000000000001</v>
      </c>
      <c r="N328" s="10">
        <v>215611</v>
      </c>
      <c r="O328" s="7">
        <v>859</v>
      </c>
      <c r="P328" s="7">
        <f t="array" ref="P328">K328*O328</f>
        <v>16303.82</v>
      </c>
      <c r="Q328" s="7">
        <f t="array" ref="Q328">L328*O328</f>
        <v>10995.2</v>
      </c>
      <c r="R328" s="7">
        <f t="array" ref="R328">N328*K328</f>
        <v>4092296.7800000003</v>
      </c>
      <c r="S328" s="7">
        <f t="array" ref="S328">N328*K328*O328</f>
        <v>3515282934.0200005</v>
      </c>
    </row>
    <row r="329" spans="1:19" ht="14.25" customHeight="1" x14ac:dyDescent="0.3">
      <c r="A329">
        <v>328</v>
      </c>
      <c r="B329" s="12">
        <v>45383</v>
      </c>
      <c r="C329" s="5">
        <v>2024</v>
      </c>
      <c r="D329" s="5" t="s">
        <v>25</v>
      </c>
      <c r="E329" s="5" t="s">
        <v>53</v>
      </c>
      <c r="F329" s="6" t="s">
        <v>27</v>
      </c>
      <c r="G329" s="6" t="s">
        <v>21</v>
      </c>
      <c r="H329" s="9" t="s">
        <v>28</v>
      </c>
      <c r="I329" s="9" t="s">
        <v>32</v>
      </c>
      <c r="J329" s="9" t="s">
        <v>31</v>
      </c>
      <c r="K329" s="7">
        <v>11.07</v>
      </c>
      <c r="L329" s="7">
        <v>8.83</v>
      </c>
      <c r="M329" s="8">
        <v>0.20200000000000001</v>
      </c>
      <c r="N329" s="10">
        <v>262943</v>
      </c>
      <c r="O329" s="7">
        <v>859</v>
      </c>
      <c r="P329" s="7">
        <f t="array" ref="P329">K329*O329</f>
        <v>9509.130000000001</v>
      </c>
      <c r="Q329" s="7">
        <f t="array" ref="Q329">L329*O329</f>
        <v>7584.97</v>
      </c>
      <c r="R329" s="7">
        <f t="array" ref="R329">N329*K329</f>
        <v>2910779.0100000002</v>
      </c>
      <c r="S329" s="7">
        <f t="array" ref="S329">N329*K329*O329</f>
        <v>2500359169.5900002</v>
      </c>
    </row>
    <row r="330" spans="1:19" ht="14.25" customHeight="1" x14ac:dyDescent="0.3">
      <c r="A330">
        <v>329</v>
      </c>
      <c r="B330" s="12">
        <v>45383</v>
      </c>
      <c r="C330" s="5">
        <v>2024</v>
      </c>
      <c r="D330" s="5" t="s">
        <v>39</v>
      </c>
      <c r="E330" s="5" t="s">
        <v>58</v>
      </c>
      <c r="F330" s="6" t="s">
        <v>20</v>
      </c>
      <c r="G330" s="6" t="s">
        <v>36</v>
      </c>
      <c r="H330" s="9" t="s">
        <v>23</v>
      </c>
      <c r="I330" s="9" t="s">
        <v>29</v>
      </c>
      <c r="J330" s="9" t="s">
        <v>31</v>
      </c>
      <c r="K330" s="7">
        <v>16.91</v>
      </c>
      <c r="L330" s="7">
        <v>9.14</v>
      </c>
      <c r="M330" s="8">
        <v>0.45900000000000002</v>
      </c>
      <c r="N330" s="10">
        <v>199187</v>
      </c>
      <c r="O330" s="7">
        <v>859</v>
      </c>
      <c r="P330" s="7">
        <f t="array" ref="P330">K330*O330</f>
        <v>14525.69</v>
      </c>
      <c r="Q330" s="7">
        <f t="array" ref="Q330">L330*O330</f>
        <v>7851.26</v>
      </c>
      <c r="R330" s="7">
        <f t="array" ref="R330">N330*K330</f>
        <v>3368252.17</v>
      </c>
      <c r="S330" s="7">
        <f t="array" ref="S330">N330*K330*O330</f>
        <v>2893328614.0299997</v>
      </c>
    </row>
    <row r="331" spans="1:19" ht="14.25" customHeight="1" x14ac:dyDescent="0.3">
      <c r="A331">
        <v>330</v>
      </c>
      <c r="B331" s="12">
        <v>45383</v>
      </c>
      <c r="C331" s="5">
        <v>2024</v>
      </c>
      <c r="D331" s="5" t="s">
        <v>18</v>
      </c>
      <c r="E331" s="5" t="s">
        <v>59</v>
      </c>
      <c r="F331" s="6" t="s">
        <v>20</v>
      </c>
      <c r="G331" s="6" t="s">
        <v>21</v>
      </c>
      <c r="H331" s="9" t="s">
        <v>38</v>
      </c>
      <c r="I331" s="9" t="s">
        <v>29</v>
      </c>
      <c r="J331" s="9" t="s">
        <v>49</v>
      </c>
      <c r="K331" s="7">
        <v>7.67</v>
      </c>
      <c r="L331" s="7">
        <v>4.62</v>
      </c>
      <c r="M331" s="8">
        <v>0.39800000000000002</v>
      </c>
      <c r="N331" s="10">
        <v>179119</v>
      </c>
      <c r="O331" s="7">
        <v>859</v>
      </c>
      <c r="P331" s="7">
        <f t="array" ref="P331">K331*O331</f>
        <v>6588.53</v>
      </c>
      <c r="Q331" s="7">
        <f t="array" ref="Q331">L331*O331</f>
        <v>3968.58</v>
      </c>
      <c r="R331" s="7">
        <f t="array" ref="R331">N331*K331</f>
        <v>1373842.73</v>
      </c>
      <c r="S331" s="7">
        <f t="array" ref="S331">N331*K331*O331</f>
        <v>1180130905.0699999</v>
      </c>
    </row>
    <row r="332" spans="1:19" ht="14.25" customHeight="1" x14ac:dyDescent="0.3">
      <c r="A332">
        <v>331</v>
      </c>
      <c r="B332" s="12">
        <v>45383</v>
      </c>
      <c r="C332" s="5">
        <v>2024</v>
      </c>
      <c r="D332" s="5" t="s">
        <v>25</v>
      </c>
      <c r="E332" s="5" t="s">
        <v>26</v>
      </c>
      <c r="F332" s="6" t="s">
        <v>30</v>
      </c>
      <c r="G332" s="6" t="s">
        <v>36</v>
      </c>
      <c r="H332" s="9" t="s">
        <v>28</v>
      </c>
      <c r="I332" s="9" t="s">
        <v>29</v>
      </c>
      <c r="J332" s="9" t="s">
        <v>22</v>
      </c>
      <c r="K332" s="7">
        <v>10.26</v>
      </c>
      <c r="L332" s="7">
        <v>6.19</v>
      </c>
      <c r="M332" s="8">
        <v>0.39700000000000002</v>
      </c>
      <c r="N332" s="10">
        <v>184260</v>
      </c>
      <c r="O332" s="7">
        <v>859</v>
      </c>
      <c r="P332" s="7">
        <f t="array" ref="P332">K332*O332</f>
        <v>8813.34</v>
      </c>
      <c r="Q332" s="7">
        <f t="array" ref="Q332">L332*O332</f>
        <v>5317.21</v>
      </c>
      <c r="R332" s="7">
        <f t="array" ref="R332">N332*K332</f>
        <v>1890507.5999999999</v>
      </c>
      <c r="S332" s="7">
        <f t="array" ref="S332">N332*K332*O332</f>
        <v>1623946028.3999999</v>
      </c>
    </row>
    <row r="333" spans="1:19" ht="14.25" customHeight="1" x14ac:dyDescent="0.3">
      <c r="A333">
        <v>332</v>
      </c>
      <c r="B333" s="12">
        <v>45383</v>
      </c>
      <c r="C333" s="5">
        <v>2024</v>
      </c>
      <c r="D333" s="5" t="s">
        <v>42</v>
      </c>
      <c r="E333" s="5" t="s">
        <v>68</v>
      </c>
      <c r="F333" s="6" t="s">
        <v>69</v>
      </c>
      <c r="G333" s="6" t="s">
        <v>21</v>
      </c>
      <c r="H333" s="9" t="s">
        <v>28</v>
      </c>
      <c r="I333" s="9" t="s">
        <v>46</v>
      </c>
      <c r="J333" s="9" t="s">
        <v>31</v>
      </c>
      <c r="K333" s="7">
        <v>14.41</v>
      </c>
      <c r="L333" s="7">
        <v>10.26</v>
      </c>
      <c r="M333" s="8">
        <v>0.28799999999999998</v>
      </c>
      <c r="N333" s="10">
        <v>143586</v>
      </c>
      <c r="O333" s="7">
        <v>859</v>
      </c>
      <c r="P333" s="7">
        <f t="array" ref="P333">K333*O333</f>
        <v>12378.19</v>
      </c>
      <c r="Q333" s="7">
        <f t="array" ref="Q333">L333*O333</f>
        <v>8813.34</v>
      </c>
      <c r="R333" s="7">
        <f t="array" ref="R333">N333*K333</f>
        <v>2069074.26</v>
      </c>
      <c r="S333" s="7">
        <f t="array" ref="S333">N333*K333*O333</f>
        <v>1777334789.3399999</v>
      </c>
    </row>
    <row r="334" spans="1:19" ht="14.25" customHeight="1" x14ac:dyDescent="0.3">
      <c r="A334">
        <v>333</v>
      </c>
      <c r="B334" s="12">
        <v>45383</v>
      </c>
      <c r="C334" s="5">
        <v>2024</v>
      </c>
      <c r="D334" s="5" t="s">
        <v>50</v>
      </c>
      <c r="E334" s="5" t="s">
        <v>67</v>
      </c>
      <c r="F334" s="6" t="s">
        <v>62</v>
      </c>
      <c r="G334" s="6" t="s">
        <v>36</v>
      </c>
      <c r="H334" s="9" t="s">
        <v>23</v>
      </c>
      <c r="I334" s="9" t="s">
        <v>29</v>
      </c>
      <c r="J334" s="9" t="s">
        <v>22</v>
      </c>
      <c r="K334" s="7">
        <v>6.6</v>
      </c>
      <c r="L334" s="7">
        <v>3.44</v>
      </c>
      <c r="M334" s="8">
        <v>0.47899999999999998</v>
      </c>
      <c r="N334" s="10">
        <v>87238</v>
      </c>
      <c r="O334" s="7">
        <v>859</v>
      </c>
      <c r="P334" s="7">
        <f t="array" ref="P334">K334*O334</f>
        <v>5669.4</v>
      </c>
      <c r="Q334" s="7">
        <f t="array" ref="Q334">L334*O334</f>
        <v>2954.96</v>
      </c>
      <c r="R334" s="7">
        <f t="array" ref="R334">N334*K334</f>
        <v>575770.79999999993</v>
      </c>
      <c r="S334" s="7">
        <f t="array" ref="S334">N334*K334*O334</f>
        <v>494587117.19999993</v>
      </c>
    </row>
    <row r="335" spans="1:19" ht="14.25" customHeight="1" x14ac:dyDescent="0.3">
      <c r="A335">
        <v>334</v>
      </c>
      <c r="B335" s="12">
        <v>45383</v>
      </c>
      <c r="C335" s="5">
        <v>2024</v>
      </c>
      <c r="D335" s="5" t="s">
        <v>39</v>
      </c>
      <c r="E335" s="5" t="s">
        <v>58</v>
      </c>
      <c r="F335" s="6" t="s">
        <v>41</v>
      </c>
      <c r="G335" s="6" t="s">
        <v>64</v>
      </c>
      <c r="H335" s="9" t="s">
        <v>38</v>
      </c>
      <c r="I335" s="9" t="s">
        <v>29</v>
      </c>
      <c r="J335" s="9" t="s">
        <v>22</v>
      </c>
      <c r="K335" s="7">
        <v>15.86</v>
      </c>
      <c r="L335" s="7">
        <v>9.8699999999999992</v>
      </c>
      <c r="M335" s="8">
        <v>0.378</v>
      </c>
      <c r="N335" s="10">
        <v>250998</v>
      </c>
      <c r="O335" s="7">
        <v>859</v>
      </c>
      <c r="P335" s="7">
        <f t="array" ref="P335">K335*O335</f>
        <v>13623.74</v>
      </c>
      <c r="Q335" s="7">
        <f t="array" ref="Q335">L335*O335</f>
        <v>8478.33</v>
      </c>
      <c r="R335" s="7">
        <f t="array" ref="R335">N335*K335</f>
        <v>3980828.28</v>
      </c>
      <c r="S335" s="7">
        <f t="array" ref="S335">N335*K335*O335</f>
        <v>3419531492.52</v>
      </c>
    </row>
    <row r="336" spans="1:19" ht="14.25" customHeight="1" x14ac:dyDescent="0.3">
      <c r="A336">
        <v>335</v>
      </c>
      <c r="B336" s="12">
        <v>45383</v>
      </c>
      <c r="C336" s="5">
        <v>2024</v>
      </c>
      <c r="D336" s="5" t="s">
        <v>50</v>
      </c>
      <c r="E336" s="5" t="s">
        <v>60</v>
      </c>
      <c r="F336" s="6" t="s">
        <v>52</v>
      </c>
      <c r="G336" s="6" t="s">
        <v>21</v>
      </c>
      <c r="H336" s="9" t="s">
        <v>23</v>
      </c>
      <c r="I336" s="9" t="s">
        <v>29</v>
      </c>
      <c r="J336" s="9" t="s">
        <v>49</v>
      </c>
      <c r="K336" s="7">
        <v>6.48</v>
      </c>
      <c r="L336" s="7">
        <v>4.78</v>
      </c>
      <c r="M336" s="8">
        <v>0.26200000000000001</v>
      </c>
      <c r="N336" s="10">
        <v>220587</v>
      </c>
      <c r="O336" s="7">
        <v>859</v>
      </c>
      <c r="P336" s="7">
        <f t="array" ref="P336">K336*O336</f>
        <v>5566.3200000000006</v>
      </c>
      <c r="Q336" s="7">
        <f t="array" ref="Q336">L336*O336</f>
        <v>4106.0200000000004</v>
      </c>
      <c r="R336" s="7">
        <f t="array" ref="R336">N336*K336</f>
        <v>1429403.76</v>
      </c>
      <c r="S336" s="7">
        <f t="array" ref="S336">N336*K336*O336</f>
        <v>1227857829.8399999</v>
      </c>
    </row>
    <row r="337" spans="1:19" ht="14.25" customHeight="1" x14ac:dyDescent="0.3">
      <c r="A337">
        <v>336</v>
      </c>
      <c r="B337" s="12">
        <v>45383</v>
      </c>
      <c r="C337" s="5">
        <v>2024</v>
      </c>
      <c r="D337" s="5" t="s">
        <v>50</v>
      </c>
      <c r="E337" s="5" t="s">
        <v>60</v>
      </c>
      <c r="F337" s="6" t="s">
        <v>62</v>
      </c>
      <c r="G337" s="6" t="s">
        <v>21</v>
      </c>
      <c r="H337" s="9" t="s">
        <v>28</v>
      </c>
      <c r="I337" s="9" t="s">
        <v>29</v>
      </c>
      <c r="J337" s="9" t="s">
        <v>49</v>
      </c>
      <c r="K337" s="7">
        <v>18.46</v>
      </c>
      <c r="L337" s="7">
        <v>11.91</v>
      </c>
      <c r="M337" s="8">
        <v>0.35499999999999998</v>
      </c>
      <c r="N337" s="10">
        <v>105718</v>
      </c>
      <c r="O337" s="7">
        <v>859</v>
      </c>
      <c r="P337" s="7">
        <f t="array" ref="P337">K337*O337</f>
        <v>15857.140000000001</v>
      </c>
      <c r="Q337" s="7">
        <f t="array" ref="Q337">L337*O337</f>
        <v>10230.69</v>
      </c>
      <c r="R337" s="7">
        <f t="array" ref="R337">N337*K337</f>
        <v>1951554.28</v>
      </c>
      <c r="S337" s="7">
        <f t="array" ref="S337">N337*K337*O337</f>
        <v>1676385126.52</v>
      </c>
    </row>
    <row r="338" spans="1:19" ht="14.25" customHeight="1" x14ac:dyDescent="0.3">
      <c r="A338">
        <v>337</v>
      </c>
      <c r="B338" s="12">
        <v>45383</v>
      </c>
      <c r="C338" s="5">
        <v>2024</v>
      </c>
      <c r="D338" s="5" t="s">
        <v>39</v>
      </c>
      <c r="E338" s="5" t="s">
        <v>58</v>
      </c>
      <c r="F338" s="6" t="s">
        <v>48</v>
      </c>
      <c r="G338" s="6" t="s">
        <v>21</v>
      </c>
      <c r="H338" s="9" t="s">
        <v>28</v>
      </c>
      <c r="I338" s="9" t="s">
        <v>29</v>
      </c>
      <c r="J338" s="9" t="s">
        <v>49</v>
      </c>
      <c r="K338" s="7">
        <v>9.14</v>
      </c>
      <c r="L338" s="7">
        <v>5.03</v>
      </c>
      <c r="M338" s="8">
        <v>0.45</v>
      </c>
      <c r="N338" s="10">
        <v>130502</v>
      </c>
      <c r="O338" s="7">
        <v>859</v>
      </c>
      <c r="P338" s="7">
        <f t="array" ref="P338">K338*O338</f>
        <v>7851.26</v>
      </c>
      <c r="Q338" s="7">
        <f t="array" ref="Q338">L338*O338</f>
        <v>4320.7700000000004</v>
      </c>
      <c r="R338" s="7">
        <f t="array" ref="R338">N338*K338</f>
        <v>1192788.28</v>
      </c>
      <c r="S338" s="7">
        <f t="array" ref="S338">N338*K338*O338</f>
        <v>1024605132.52</v>
      </c>
    </row>
    <row r="339" spans="1:19" ht="14.25" customHeight="1" x14ac:dyDescent="0.3">
      <c r="A339">
        <v>338</v>
      </c>
      <c r="B339" s="12">
        <v>45383</v>
      </c>
      <c r="C339" s="5">
        <v>2024</v>
      </c>
      <c r="D339" s="5" t="s">
        <v>25</v>
      </c>
      <c r="E339" s="5" t="s">
        <v>53</v>
      </c>
      <c r="F339" s="6" t="s">
        <v>30</v>
      </c>
      <c r="G339" s="6" t="s">
        <v>21</v>
      </c>
      <c r="H339" s="9" t="s">
        <v>28</v>
      </c>
      <c r="I339" s="9" t="s">
        <v>29</v>
      </c>
      <c r="J339" s="9" t="s">
        <v>31</v>
      </c>
      <c r="K339" s="7">
        <v>7</v>
      </c>
      <c r="L339" s="7">
        <v>4.01</v>
      </c>
      <c r="M339" s="8">
        <v>0.42699999999999999</v>
      </c>
      <c r="N339" s="10">
        <v>96913</v>
      </c>
      <c r="O339" s="7">
        <v>859</v>
      </c>
      <c r="P339" s="7">
        <f t="array" ref="P339">K339*O339</f>
        <v>6013</v>
      </c>
      <c r="Q339" s="7">
        <f t="array" ref="Q339">L339*O339</f>
        <v>3444.5899999999997</v>
      </c>
      <c r="R339" s="7">
        <f t="array" ref="R339">N339*K339</f>
        <v>678391</v>
      </c>
      <c r="S339" s="7">
        <f t="array" ref="S339">N339*K339*O339</f>
        <v>582737869</v>
      </c>
    </row>
    <row r="340" spans="1:19" ht="14.25" customHeight="1" x14ac:dyDescent="0.3">
      <c r="A340">
        <v>339</v>
      </c>
      <c r="B340" s="12">
        <v>45383</v>
      </c>
      <c r="C340" s="5">
        <v>2024</v>
      </c>
      <c r="D340" s="5" t="s">
        <v>18</v>
      </c>
      <c r="E340" s="5" t="s">
        <v>61</v>
      </c>
      <c r="F340" s="6" t="s">
        <v>55</v>
      </c>
      <c r="G340" s="6" t="s">
        <v>21</v>
      </c>
      <c r="H340" s="9" t="s">
        <v>23</v>
      </c>
      <c r="I340" s="9" t="s">
        <v>32</v>
      </c>
      <c r="J340" s="9" t="s">
        <v>49</v>
      </c>
      <c r="K340" s="7">
        <v>7.17</v>
      </c>
      <c r="L340" s="7">
        <v>4.32</v>
      </c>
      <c r="M340" s="8">
        <v>0.39700000000000002</v>
      </c>
      <c r="N340" s="10">
        <v>166238</v>
      </c>
      <c r="O340" s="7">
        <v>859</v>
      </c>
      <c r="P340" s="7">
        <f t="array" ref="P340">K340*O340</f>
        <v>6159.03</v>
      </c>
      <c r="Q340" s="7">
        <f t="array" ref="Q340">L340*O340</f>
        <v>3710.88</v>
      </c>
      <c r="R340" s="7">
        <f t="array" ref="R340">N340*K340</f>
        <v>1191926.46</v>
      </c>
      <c r="S340" s="7">
        <f t="array" ref="S340">N340*K340*O340</f>
        <v>1023864829.14</v>
      </c>
    </row>
    <row r="341" spans="1:19" ht="14.25" customHeight="1" x14ac:dyDescent="0.3">
      <c r="A341">
        <v>340</v>
      </c>
      <c r="B341" s="12">
        <v>45383</v>
      </c>
      <c r="C341" s="5">
        <v>2024</v>
      </c>
      <c r="D341" s="5" t="s">
        <v>39</v>
      </c>
      <c r="E341" s="5" t="s">
        <v>65</v>
      </c>
      <c r="F341" s="6" t="s">
        <v>20</v>
      </c>
      <c r="G341" s="6" t="s">
        <v>21</v>
      </c>
      <c r="H341" s="9" t="s">
        <v>28</v>
      </c>
      <c r="I341" s="9" t="s">
        <v>29</v>
      </c>
      <c r="J341" s="9" t="s">
        <v>31</v>
      </c>
      <c r="K341" s="7">
        <v>16.63</v>
      </c>
      <c r="L341" s="7">
        <v>11.79</v>
      </c>
      <c r="M341" s="8">
        <v>0.29099999999999998</v>
      </c>
      <c r="N341" s="10">
        <v>194419</v>
      </c>
      <c r="O341" s="7">
        <v>859</v>
      </c>
      <c r="P341" s="7">
        <f t="array" ref="P341">K341*O341</f>
        <v>14285.169999999998</v>
      </c>
      <c r="Q341" s="7">
        <f t="array" ref="Q341">L341*O341</f>
        <v>10127.609999999999</v>
      </c>
      <c r="R341" s="7">
        <f t="array" ref="R341">N341*K341</f>
        <v>3233187.9699999997</v>
      </c>
      <c r="S341" s="7">
        <f t="array" ref="S341">N341*K341*O341</f>
        <v>2777308466.2299995</v>
      </c>
    </row>
    <row r="342" spans="1:19" ht="14.25" customHeight="1" x14ac:dyDescent="0.3">
      <c r="A342">
        <v>341</v>
      </c>
      <c r="B342" s="12">
        <v>45383</v>
      </c>
      <c r="C342" s="5">
        <v>2024</v>
      </c>
      <c r="D342" s="5" t="s">
        <v>25</v>
      </c>
      <c r="E342" s="5" t="s">
        <v>70</v>
      </c>
      <c r="F342" s="6" t="s">
        <v>27</v>
      </c>
      <c r="G342" s="6" t="s">
        <v>21</v>
      </c>
      <c r="H342" s="9" t="s">
        <v>38</v>
      </c>
      <c r="I342" s="9" t="s">
        <v>29</v>
      </c>
      <c r="J342" s="9" t="s">
        <v>31</v>
      </c>
      <c r="K342" s="7">
        <v>14.7</v>
      </c>
      <c r="L342" s="7">
        <v>10.54</v>
      </c>
      <c r="M342" s="8">
        <v>0.28299999999999997</v>
      </c>
      <c r="N342" s="10">
        <v>93481</v>
      </c>
      <c r="O342" s="7">
        <v>859</v>
      </c>
      <c r="P342" s="7">
        <f t="array" ref="P342">K342*O342</f>
        <v>12627.3</v>
      </c>
      <c r="Q342" s="7">
        <f t="array" ref="Q342">L342*O342</f>
        <v>9053.8599999999988</v>
      </c>
      <c r="R342" s="7">
        <f t="array" ref="R342">N342*K342</f>
        <v>1374170.7</v>
      </c>
      <c r="S342" s="7">
        <f t="array" ref="S342">N342*K342*O342</f>
        <v>1180412631.3</v>
      </c>
    </row>
    <row r="343" spans="1:19" ht="14.25" customHeight="1" x14ac:dyDescent="0.3">
      <c r="A343">
        <v>342</v>
      </c>
      <c r="B343" s="12">
        <v>45383</v>
      </c>
      <c r="C343" s="5">
        <v>2024</v>
      </c>
      <c r="D343" s="5" t="s">
        <v>42</v>
      </c>
      <c r="E343" s="5" t="s">
        <v>66</v>
      </c>
      <c r="F343" s="6" t="s">
        <v>44</v>
      </c>
      <c r="G343" s="6" t="s">
        <v>21</v>
      </c>
      <c r="H343" s="9" t="s">
        <v>23</v>
      </c>
      <c r="I343" s="9" t="s">
        <v>32</v>
      </c>
      <c r="J343" s="9" t="s">
        <v>22</v>
      </c>
      <c r="K343" s="7">
        <v>10.44</v>
      </c>
      <c r="L343" s="7">
        <v>5.48</v>
      </c>
      <c r="M343" s="8">
        <v>0.47499999999999998</v>
      </c>
      <c r="N343" s="10">
        <v>233389</v>
      </c>
      <c r="O343" s="7">
        <v>859</v>
      </c>
      <c r="P343" s="7">
        <f t="array" ref="P343">K343*O343</f>
        <v>8967.9599999999991</v>
      </c>
      <c r="Q343" s="7">
        <f t="array" ref="Q343">L343*O343</f>
        <v>4707.3200000000006</v>
      </c>
      <c r="R343" s="7">
        <f t="array" ref="R343">N343*K343</f>
        <v>2436581.1599999997</v>
      </c>
      <c r="S343" s="7">
        <f t="array" ref="S343">N343*K343*O343</f>
        <v>2093023216.4399998</v>
      </c>
    </row>
    <row r="344" spans="1:19" ht="14.25" customHeight="1" x14ac:dyDescent="0.3">
      <c r="A344">
        <v>343</v>
      </c>
      <c r="B344" s="12">
        <v>45383</v>
      </c>
      <c r="C344" s="5">
        <v>2024</v>
      </c>
      <c r="D344" s="5" t="s">
        <v>33</v>
      </c>
      <c r="E344" s="5" t="s">
        <v>34</v>
      </c>
      <c r="F344" s="6" t="s">
        <v>20</v>
      </c>
      <c r="G344" s="6" t="s">
        <v>64</v>
      </c>
      <c r="H344" s="9" t="s">
        <v>28</v>
      </c>
      <c r="I344" s="9" t="s">
        <v>24</v>
      </c>
      <c r="J344" s="9" t="s">
        <v>31</v>
      </c>
      <c r="K344" s="7">
        <v>14.11</v>
      </c>
      <c r="L344" s="7">
        <v>9.3000000000000007</v>
      </c>
      <c r="M344" s="8">
        <v>0.34100000000000003</v>
      </c>
      <c r="N344" s="10">
        <v>58919</v>
      </c>
      <c r="O344" s="7">
        <v>859</v>
      </c>
      <c r="P344" s="7">
        <f t="array" ref="P344">K344*O344</f>
        <v>12120.49</v>
      </c>
      <c r="Q344" s="7">
        <f t="array" ref="Q344">L344*O344</f>
        <v>7988.7000000000007</v>
      </c>
      <c r="R344" s="7">
        <f t="array" ref="R344">N344*K344</f>
        <v>831347.09</v>
      </c>
      <c r="S344" s="7">
        <f t="array" ref="S344">N344*K344*O344</f>
        <v>714127150.30999994</v>
      </c>
    </row>
    <row r="345" spans="1:19" ht="14.25" customHeight="1" x14ac:dyDescent="0.3">
      <c r="A345">
        <v>344</v>
      </c>
      <c r="B345" s="12">
        <v>45383</v>
      </c>
      <c r="C345" s="5">
        <v>2024</v>
      </c>
      <c r="D345" s="5" t="s">
        <v>42</v>
      </c>
      <c r="E345" s="5" t="s">
        <v>68</v>
      </c>
      <c r="F345" s="6" t="s">
        <v>44</v>
      </c>
      <c r="G345" s="6" t="s">
        <v>64</v>
      </c>
      <c r="H345" s="9" t="s">
        <v>23</v>
      </c>
      <c r="I345" s="9" t="s">
        <v>24</v>
      </c>
      <c r="J345" s="9" t="s">
        <v>31</v>
      </c>
      <c r="K345" s="7">
        <v>5.73</v>
      </c>
      <c r="L345" s="7">
        <v>3.32</v>
      </c>
      <c r="M345" s="8">
        <v>0.42099999999999999</v>
      </c>
      <c r="N345" s="10">
        <v>101615</v>
      </c>
      <c r="O345" s="7">
        <v>859</v>
      </c>
      <c r="P345" s="7">
        <f t="array" ref="P345">K345*O345</f>
        <v>4922.0700000000006</v>
      </c>
      <c r="Q345" s="7">
        <f t="array" ref="Q345">L345*O345</f>
        <v>2851.8799999999997</v>
      </c>
      <c r="R345" s="7">
        <f t="array" ref="R345">N345*K345</f>
        <v>582253.95000000007</v>
      </c>
      <c r="S345" s="7">
        <f t="array" ref="S345">N345*K345*O345</f>
        <v>500156143.05000007</v>
      </c>
    </row>
    <row r="346" spans="1:19" ht="14.25" customHeight="1" x14ac:dyDescent="0.3">
      <c r="A346">
        <v>345</v>
      </c>
      <c r="B346" s="12">
        <v>45383</v>
      </c>
      <c r="C346" s="5">
        <v>2024</v>
      </c>
      <c r="D346" s="5" t="s">
        <v>39</v>
      </c>
      <c r="E346" s="5" t="s">
        <v>40</v>
      </c>
      <c r="F346" s="6" t="s">
        <v>48</v>
      </c>
      <c r="G346" s="6" t="s">
        <v>64</v>
      </c>
      <c r="H346" s="9" t="s">
        <v>23</v>
      </c>
      <c r="I346" s="9" t="s">
        <v>29</v>
      </c>
      <c r="J346" s="9" t="s">
        <v>22</v>
      </c>
      <c r="K346" s="7">
        <v>17.920000000000002</v>
      </c>
      <c r="L346" s="7">
        <v>13.73</v>
      </c>
      <c r="M346" s="8">
        <v>0.23400000000000001</v>
      </c>
      <c r="N346" s="10">
        <v>255469</v>
      </c>
      <c r="O346" s="7">
        <v>859</v>
      </c>
      <c r="P346" s="7">
        <f t="array" ref="P346">K346*O346</f>
        <v>15393.28</v>
      </c>
      <c r="Q346" s="7">
        <f t="array" ref="Q346">L346*O346</f>
        <v>11794.07</v>
      </c>
      <c r="R346" s="7">
        <f t="array" ref="R346">N346*K346</f>
        <v>4578004.4800000004</v>
      </c>
      <c r="S346" s="7">
        <f t="array" ref="S346">N346*K346*O346</f>
        <v>3932505848.3200002</v>
      </c>
    </row>
    <row r="347" spans="1:19" ht="14.25" customHeight="1" x14ac:dyDescent="0.3">
      <c r="A347">
        <v>346</v>
      </c>
      <c r="B347" s="12">
        <v>45383</v>
      </c>
      <c r="C347" s="5">
        <v>2024</v>
      </c>
      <c r="D347" s="5" t="s">
        <v>25</v>
      </c>
      <c r="E347" s="5" t="s">
        <v>70</v>
      </c>
      <c r="F347" s="6" t="s">
        <v>63</v>
      </c>
      <c r="G347" s="6" t="s">
        <v>36</v>
      </c>
      <c r="H347" s="9" t="s">
        <v>23</v>
      </c>
      <c r="I347" s="9" t="s">
        <v>29</v>
      </c>
      <c r="J347" s="9" t="s">
        <v>22</v>
      </c>
      <c r="K347" s="7">
        <v>8.92</v>
      </c>
      <c r="L347" s="7">
        <v>5.27</v>
      </c>
      <c r="M347" s="8">
        <v>0.40899999999999997</v>
      </c>
      <c r="N347" s="10">
        <v>71780</v>
      </c>
      <c r="O347" s="7">
        <v>859</v>
      </c>
      <c r="P347" s="7">
        <f t="array" ref="P347">K347*O347</f>
        <v>7662.28</v>
      </c>
      <c r="Q347" s="7">
        <f t="array" ref="Q347">L347*O347</f>
        <v>4526.9299999999994</v>
      </c>
      <c r="R347" s="7">
        <f t="array" ref="R347">N347*K347</f>
        <v>640277.6</v>
      </c>
      <c r="S347" s="7">
        <f t="array" ref="S347">N347*K347*O347</f>
        <v>549998458.39999998</v>
      </c>
    </row>
    <row r="348" spans="1:19" ht="14.25" customHeight="1" x14ac:dyDescent="0.3">
      <c r="A348">
        <v>347</v>
      </c>
      <c r="B348" s="12">
        <v>45383</v>
      </c>
      <c r="C348" s="5">
        <v>2024</v>
      </c>
      <c r="D348" s="5" t="s">
        <v>25</v>
      </c>
      <c r="E348" s="5" t="s">
        <v>26</v>
      </c>
      <c r="F348" s="6" t="s">
        <v>27</v>
      </c>
      <c r="G348" s="6" t="s">
        <v>36</v>
      </c>
      <c r="H348" s="9" t="s">
        <v>23</v>
      </c>
      <c r="I348" s="9" t="s">
        <v>24</v>
      </c>
      <c r="J348" s="9" t="s">
        <v>49</v>
      </c>
      <c r="K348" s="7">
        <v>19.329999999999998</v>
      </c>
      <c r="L348" s="7">
        <v>13.24</v>
      </c>
      <c r="M348" s="8">
        <v>0.315</v>
      </c>
      <c r="N348" s="10">
        <v>126609</v>
      </c>
      <c r="O348" s="7">
        <v>859</v>
      </c>
      <c r="P348" s="7">
        <f t="array" ref="P348">K348*O348</f>
        <v>16604.469999999998</v>
      </c>
      <c r="Q348" s="7">
        <f t="array" ref="Q348">L348*O348</f>
        <v>11373.16</v>
      </c>
      <c r="R348" s="7">
        <f t="array" ref="R348">N348*K348</f>
        <v>2447351.9699999997</v>
      </c>
      <c r="S348" s="7">
        <f t="array" ref="S348">N348*K348*O348</f>
        <v>2102275342.2299998</v>
      </c>
    </row>
    <row r="349" spans="1:19" ht="14.25" customHeight="1" x14ac:dyDescent="0.3">
      <c r="A349">
        <v>348</v>
      </c>
      <c r="B349" s="12">
        <v>45383</v>
      </c>
      <c r="C349" s="5">
        <v>2024</v>
      </c>
      <c r="D349" s="5" t="s">
        <v>42</v>
      </c>
      <c r="E349" s="5" t="s">
        <v>68</v>
      </c>
      <c r="F349" s="6" t="s">
        <v>45</v>
      </c>
      <c r="G349" s="6" t="s">
        <v>21</v>
      </c>
      <c r="H349" s="9" t="s">
        <v>23</v>
      </c>
      <c r="I349" s="9" t="s">
        <v>32</v>
      </c>
      <c r="J349" s="9" t="s">
        <v>22</v>
      </c>
      <c r="K349" s="7">
        <v>7.52</v>
      </c>
      <c r="L349" s="7">
        <v>5.38</v>
      </c>
      <c r="M349" s="8">
        <v>0.28499999999999998</v>
      </c>
      <c r="N349" s="10">
        <v>294807</v>
      </c>
      <c r="O349" s="7">
        <v>859</v>
      </c>
      <c r="P349" s="7">
        <f t="array" ref="P349">K349*O349</f>
        <v>6459.6799999999994</v>
      </c>
      <c r="Q349" s="7">
        <f t="array" ref="Q349">L349*O349</f>
        <v>4621.42</v>
      </c>
      <c r="R349" s="7">
        <f t="array" ref="R349">N349*K349</f>
        <v>2216948.6399999997</v>
      </c>
      <c r="S349" s="7">
        <f t="array" ref="S349">N349*K349*O349</f>
        <v>1904358881.7599998</v>
      </c>
    </row>
    <row r="350" spans="1:19" ht="14.25" customHeight="1" x14ac:dyDescent="0.3">
      <c r="A350">
        <v>349</v>
      </c>
      <c r="B350" s="12">
        <v>45383</v>
      </c>
      <c r="C350" s="5">
        <v>2024</v>
      </c>
      <c r="D350" s="5" t="s">
        <v>50</v>
      </c>
      <c r="E350" s="5" t="s">
        <v>51</v>
      </c>
      <c r="F350" s="6" t="s">
        <v>56</v>
      </c>
      <c r="G350" s="6" t="s">
        <v>21</v>
      </c>
      <c r="H350" s="9" t="s">
        <v>28</v>
      </c>
      <c r="I350" s="9" t="s">
        <v>24</v>
      </c>
      <c r="J350" s="9" t="s">
        <v>31</v>
      </c>
      <c r="K350" s="7">
        <v>7.68</v>
      </c>
      <c r="L350" s="7">
        <v>5.54</v>
      </c>
      <c r="M350" s="8">
        <v>0.27900000000000003</v>
      </c>
      <c r="N350" s="10">
        <v>124260</v>
      </c>
      <c r="O350" s="7">
        <v>859</v>
      </c>
      <c r="P350" s="7">
        <f t="array" ref="P350">K350*O350</f>
        <v>6597.12</v>
      </c>
      <c r="Q350" s="7">
        <f t="array" ref="Q350">L350*O350</f>
        <v>4758.8599999999997</v>
      </c>
      <c r="R350" s="7">
        <f t="array" ref="R350">N350*K350</f>
        <v>954316.79999999993</v>
      </c>
      <c r="S350" s="7">
        <f t="array" ref="S350">N350*K350*O350</f>
        <v>819758131.19999993</v>
      </c>
    </row>
    <row r="351" spans="1:19" ht="14.25" customHeight="1" x14ac:dyDescent="0.3">
      <c r="A351">
        <v>350</v>
      </c>
      <c r="B351" s="12">
        <v>45383</v>
      </c>
      <c r="C351" s="5">
        <v>2024</v>
      </c>
      <c r="D351" s="5" t="s">
        <v>18</v>
      </c>
      <c r="E351" s="5" t="s">
        <v>19</v>
      </c>
      <c r="F351" s="6" t="s">
        <v>55</v>
      </c>
      <c r="G351" s="6" t="s">
        <v>21</v>
      </c>
      <c r="H351" s="9" t="s">
        <v>23</v>
      </c>
      <c r="I351" s="9" t="s">
        <v>29</v>
      </c>
      <c r="J351" s="9" t="s">
        <v>31</v>
      </c>
      <c r="K351" s="7">
        <v>9.2100000000000009</v>
      </c>
      <c r="L351" s="7">
        <v>5.34</v>
      </c>
      <c r="M351" s="8">
        <v>0.42</v>
      </c>
      <c r="N351" s="10">
        <v>130643</v>
      </c>
      <c r="O351" s="7">
        <v>859</v>
      </c>
      <c r="P351" s="7">
        <f t="array" ref="P351">K351*O351</f>
        <v>7911.39</v>
      </c>
      <c r="Q351" s="7">
        <f t="array" ref="Q351">L351*O351</f>
        <v>4587.0599999999995</v>
      </c>
      <c r="R351" s="7">
        <f t="array" ref="R351">N351*K351</f>
        <v>1203222.03</v>
      </c>
      <c r="S351" s="7">
        <f t="array" ref="S351">N351*K351*O351</f>
        <v>1033567723.77</v>
      </c>
    </row>
    <row r="352" spans="1:19" ht="14.25" customHeight="1" x14ac:dyDescent="0.3">
      <c r="A352">
        <v>351</v>
      </c>
      <c r="B352" s="12">
        <v>45383</v>
      </c>
      <c r="C352" s="5">
        <v>2024</v>
      </c>
      <c r="D352" s="5" t="s">
        <v>25</v>
      </c>
      <c r="E352" s="5" t="s">
        <v>53</v>
      </c>
      <c r="F352" s="6" t="s">
        <v>63</v>
      </c>
      <c r="G352" s="6" t="s">
        <v>21</v>
      </c>
      <c r="H352" s="9" t="s">
        <v>23</v>
      </c>
      <c r="I352" s="9" t="s">
        <v>29</v>
      </c>
      <c r="J352" s="9" t="s">
        <v>31</v>
      </c>
      <c r="K352" s="7">
        <v>17.579999999999998</v>
      </c>
      <c r="L352" s="7">
        <v>10.71</v>
      </c>
      <c r="M352" s="8">
        <v>0.39100000000000001</v>
      </c>
      <c r="N352" s="10">
        <v>281936</v>
      </c>
      <c r="O352" s="7">
        <v>859</v>
      </c>
      <c r="P352" s="7">
        <f t="array" ref="P352">K352*O352</f>
        <v>15101.22</v>
      </c>
      <c r="Q352" s="7">
        <f t="array" ref="Q352">L352*O352</f>
        <v>9199.8900000000012</v>
      </c>
      <c r="R352" s="7">
        <f t="array" ref="R352">N352*K352</f>
        <v>4956434.88</v>
      </c>
      <c r="S352" s="7">
        <f t="array" ref="S352">N352*K352*O352</f>
        <v>4257577561.9200001</v>
      </c>
    </row>
    <row r="353" spans="1:19" ht="14.25" customHeight="1" x14ac:dyDescent="0.3">
      <c r="A353">
        <v>352</v>
      </c>
      <c r="B353" s="12">
        <v>45413</v>
      </c>
      <c r="C353" s="5">
        <v>2024</v>
      </c>
      <c r="D353" s="5" t="s">
        <v>33</v>
      </c>
      <c r="E353" s="5" t="s">
        <v>37</v>
      </c>
      <c r="F353" s="6" t="s">
        <v>47</v>
      </c>
      <c r="G353" s="6" t="s">
        <v>64</v>
      </c>
      <c r="H353" s="9" t="s">
        <v>38</v>
      </c>
      <c r="I353" s="9" t="s">
        <v>24</v>
      </c>
      <c r="J353" s="9" t="s">
        <v>49</v>
      </c>
      <c r="K353" s="7">
        <v>6.75</v>
      </c>
      <c r="L353" s="7">
        <v>3.61</v>
      </c>
      <c r="M353" s="8">
        <v>0.46500000000000002</v>
      </c>
      <c r="N353" s="10">
        <v>116895</v>
      </c>
      <c r="O353" s="7">
        <v>879</v>
      </c>
      <c r="P353" s="7">
        <f t="array" ref="P353">K353*O353</f>
        <v>5933.25</v>
      </c>
      <c r="Q353" s="7">
        <f t="array" ref="Q353">L353*O353</f>
        <v>3173.19</v>
      </c>
      <c r="R353" s="7">
        <f t="array" ref="R353">N353*K353</f>
        <v>789041.25</v>
      </c>
      <c r="S353" s="7">
        <f t="array" ref="S353">N353*K353*O353</f>
        <v>693567258.75</v>
      </c>
    </row>
    <row r="354" spans="1:19" ht="14.25" customHeight="1" x14ac:dyDescent="0.3">
      <c r="A354">
        <v>353</v>
      </c>
      <c r="B354" s="12">
        <v>45413</v>
      </c>
      <c r="C354" s="5">
        <v>2024</v>
      </c>
      <c r="D354" s="5" t="s">
        <v>50</v>
      </c>
      <c r="E354" s="5" t="s">
        <v>60</v>
      </c>
      <c r="F354" s="6" t="s">
        <v>62</v>
      </c>
      <c r="G354" s="6" t="s">
        <v>36</v>
      </c>
      <c r="H354" s="9" t="s">
        <v>38</v>
      </c>
      <c r="I354" s="9" t="s">
        <v>24</v>
      </c>
      <c r="J354" s="9" t="s">
        <v>31</v>
      </c>
      <c r="K354" s="7">
        <v>16.29</v>
      </c>
      <c r="L354" s="7">
        <v>12.66</v>
      </c>
      <c r="M354" s="8">
        <v>0.223</v>
      </c>
      <c r="N354" s="10">
        <v>182632</v>
      </c>
      <c r="O354" s="7">
        <v>879</v>
      </c>
      <c r="P354" s="7">
        <f t="array" ref="P354">K354*O354</f>
        <v>14318.91</v>
      </c>
      <c r="Q354" s="7">
        <f t="array" ref="Q354">L354*O354</f>
        <v>11128.14</v>
      </c>
      <c r="R354" s="7">
        <f t="array" ref="R354">N354*K354</f>
        <v>2975075.28</v>
      </c>
      <c r="S354" s="7">
        <f t="array" ref="S354">N354*K354*O354</f>
        <v>2615091171.1199999</v>
      </c>
    </row>
    <row r="355" spans="1:19" ht="14.25" customHeight="1" x14ac:dyDescent="0.3">
      <c r="A355">
        <v>354</v>
      </c>
      <c r="B355" s="12">
        <v>45413</v>
      </c>
      <c r="C355" s="5">
        <v>2024</v>
      </c>
      <c r="D355" s="5" t="s">
        <v>39</v>
      </c>
      <c r="E355" s="5" t="s">
        <v>65</v>
      </c>
      <c r="F355" s="6" t="s">
        <v>48</v>
      </c>
      <c r="G355" s="6" t="s">
        <v>21</v>
      </c>
      <c r="H355" s="9" t="s">
        <v>38</v>
      </c>
      <c r="I355" s="9" t="s">
        <v>32</v>
      </c>
      <c r="J355" s="9" t="s">
        <v>49</v>
      </c>
      <c r="K355" s="7">
        <v>8.08</v>
      </c>
      <c r="L355" s="7">
        <v>4.79</v>
      </c>
      <c r="M355" s="8">
        <v>0.40699999999999997</v>
      </c>
      <c r="N355" s="10">
        <v>82759</v>
      </c>
      <c r="O355" s="7">
        <v>879</v>
      </c>
      <c r="P355" s="7">
        <f t="array" ref="P355">K355*O355</f>
        <v>7102.32</v>
      </c>
      <c r="Q355" s="7">
        <f t="array" ref="Q355">L355*O355</f>
        <v>4210.41</v>
      </c>
      <c r="R355" s="7">
        <f t="array" ref="R355">N355*K355</f>
        <v>668692.72</v>
      </c>
      <c r="S355" s="7">
        <f t="array" ref="S355">N355*K355*O355</f>
        <v>587780900.88</v>
      </c>
    </row>
    <row r="356" spans="1:19" ht="14.25" customHeight="1" x14ac:dyDescent="0.3">
      <c r="A356">
        <v>355</v>
      </c>
      <c r="B356" s="12">
        <v>45413</v>
      </c>
      <c r="C356" s="5">
        <v>2024</v>
      </c>
      <c r="D356" s="5" t="s">
        <v>39</v>
      </c>
      <c r="E356" s="5" t="s">
        <v>40</v>
      </c>
      <c r="F356" s="6" t="s">
        <v>41</v>
      </c>
      <c r="G356" s="6" t="s">
        <v>21</v>
      </c>
      <c r="H356" s="9" t="s">
        <v>23</v>
      </c>
      <c r="I356" s="9" t="s">
        <v>32</v>
      </c>
      <c r="J356" s="9" t="s">
        <v>49</v>
      </c>
      <c r="K356" s="7">
        <v>9.17</v>
      </c>
      <c r="L356" s="7">
        <v>4.7</v>
      </c>
      <c r="M356" s="8">
        <v>0.48699999999999999</v>
      </c>
      <c r="N356" s="10">
        <v>228588</v>
      </c>
      <c r="O356" s="7">
        <v>879</v>
      </c>
      <c r="P356" s="7">
        <f t="array" ref="P356">K356*O356</f>
        <v>8060.43</v>
      </c>
      <c r="Q356" s="7">
        <f t="array" ref="Q356">L356*O356</f>
        <v>4131.3</v>
      </c>
      <c r="R356" s="7">
        <f t="array" ref="R356">N356*K356</f>
        <v>2096151.96</v>
      </c>
      <c r="S356" s="7">
        <f t="array" ref="S356">N356*K356*O356</f>
        <v>1842517572.8399999</v>
      </c>
    </row>
    <row r="357" spans="1:19" ht="14.25" customHeight="1" x14ac:dyDescent="0.3">
      <c r="A357">
        <v>356</v>
      </c>
      <c r="B357" s="12">
        <v>45413</v>
      </c>
      <c r="C357" s="5">
        <v>2024</v>
      </c>
      <c r="D357" s="5" t="s">
        <v>39</v>
      </c>
      <c r="E357" s="5" t="s">
        <v>58</v>
      </c>
      <c r="F357" s="6" t="s">
        <v>41</v>
      </c>
      <c r="G357" s="6" t="s">
        <v>21</v>
      </c>
      <c r="H357" s="9" t="s">
        <v>23</v>
      </c>
      <c r="I357" s="9" t="s">
        <v>29</v>
      </c>
      <c r="J357" s="9" t="s">
        <v>31</v>
      </c>
      <c r="K357" s="7">
        <v>11.6</v>
      </c>
      <c r="L357" s="7">
        <v>8.14</v>
      </c>
      <c r="M357" s="8">
        <v>0.29799999999999999</v>
      </c>
      <c r="N357" s="10">
        <v>182292</v>
      </c>
      <c r="O357" s="7">
        <v>879</v>
      </c>
      <c r="P357" s="7">
        <f t="array" ref="P357">K357*O357</f>
        <v>10196.4</v>
      </c>
      <c r="Q357" s="7">
        <f t="array" ref="Q357">L357*O357</f>
        <v>7155.06</v>
      </c>
      <c r="R357" s="7">
        <f t="array" ref="R357">N357*K357</f>
        <v>2114587.1999999997</v>
      </c>
      <c r="S357" s="7">
        <f t="array" ref="S357">N357*K357*O357</f>
        <v>1858722148.7999997</v>
      </c>
    </row>
    <row r="358" spans="1:19" ht="14.25" customHeight="1" x14ac:dyDescent="0.3">
      <c r="A358">
        <v>357</v>
      </c>
      <c r="B358" s="12">
        <v>45413</v>
      </c>
      <c r="C358" s="5">
        <v>2024</v>
      </c>
      <c r="D358" s="5" t="s">
        <v>33</v>
      </c>
      <c r="E358" s="5" t="s">
        <v>57</v>
      </c>
      <c r="F358" s="6" t="s">
        <v>47</v>
      </c>
      <c r="G358" s="6" t="s">
        <v>21</v>
      </c>
      <c r="H358" s="9" t="s">
        <v>23</v>
      </c>
      <c r="I358" s="9" t="s">
        <v>24</v>
      </c>
      <c r="J358" s="9" t="s">
        <v>31</v>
      </c>
      <c r="K358" s="7">
        <v>19.37</v>
      </c>
      <c r="L358" s="7">
        <v>13.82</v>
      </c>
      <c r="M358" s="8">
        <v>0.28699999999999998</v>
      </c>
      <c r="N358" s="10">
        <v>57524</v>
      </c>
      <c r="O358" s="7">
        <v>879</v>
      </c>
      <c r="P358" s="7">
        <f t="array" ref="P358">K358*O358</f>
        <v>17026.23</v>
      </c>
      <c r="Q358" s="7">
        <f t="array" ref="Q358">L358*O358</f>
        <v>12147.78</v>
      </c>
      <c r="R358" s="7">
        <f t="array" ref="R358">N358*K358</f>
        <v>1114239.8800000001</v>
      </c>
      <c r="S358" s="7">
        <f t="array" ref="S358">N358*K358*O358</f>
        <v>979416854.5200001</v>
      </c>
    </row>
    <row r="359" spans="1:19" ht="14.25" customHeight="1" x14ac:dyDescent="0.3">
      <c r="A359">
        <v>358</v>
      </c>
      <c r="B359" s="12">
        <v>45413</v>
      </c>
      <c r="C359" s="5">
        <v>2024</v>
      </c>
      <c r="D359" s="5" t="s">
        <v>42</v>
      </c>
      <c r="E359" s="5" t="s">
        <v>68</v>
      </c>
      <c r="F359" s="6" t="s">
        <v>45</v>
      </c>
      <c r="G359" s="6" t="s">
        <v>64</v>
      </c>
      <c r="H359" s="9" t="s">
        <v>38</v>
      </c>
      <c r="I359" s="9" t="s">
        <v>24</v>
      </c>
      <c r="J359" s="9" t="s">
        <v>22</v>
      </c>
      <c r="K359" s="7">
        <v>14.42</v>
      </c>
      <c r="L359" s="7">
        <v>8.5</v>
      </c>
      <c r="M359" s="8">
        <v>0.41099999999999998</v>
      </c>
      <c r="N359" s="10">
        <v>194047</v>
      </c>
      <c r="O359" s="7">
        <v>879</v>
      </c>
      <c r="P359" s="7">
        <f t="array" ref="P359">K359*O359</f>
        <v>12675.18</v>
      </c>
      <c r="Q359" s="7">
        <f t="array" ref="Q359">L359*O359</f>
        <v>7471.5</v>
      </c>
      <c r="R359" s="7">
        <f t="array" ref="R359">N359*K359</f>
        <v>2798157.7399999998</v>
      </c>
      <c r="S359" s="7">
        <f t="array" ref="S359">N359*K359*O359</f>
        <v>2459580653.4599996</v>
      </c>
    </row>
    <row r="360" spans="1:19" ht="14.25" customHeight="1" x14ac:dyDescent="0.3">
      <c r="A360">
        <v>359</v>
      </c>
      <c r="B360" s="12">
        <v>45413</v>
      </c>
      <c r="C360" s="5">
        <v>2024</v>
      </c>
      <c r="D360" s="5" t="s">
        <v>50</v>
      </c>
      <c r="E360" s="5" t="s">
        <v>67</v>
      </c>
      <c r="F360" s="6" t="s">
        <v>52</v>
      </c>
      <c r="G360" s="6" t="s">
        <v>36</v>
      </c>
      <c r="H360" s="9" t="s">
        <v>28</v>
      </c>
      <c r="I360" s="9" t="s">
        <v>32</v>
      </c>
      <c r="J360" s="9" t="s">
        <v>31</v>
      </c>
      <c r="K360" s="7">
        <v>17.66</v>
      </c>
      <c r="L360" s="7">
        <v>9.81</v>
      </c>
      <c r="M360" s="8">
        <v>0.44500000000000001</v>
      </c>
      <c r="N360" s="10">
        <v>126516</v>
      </c>
      <c r="O360" s="7">
        <v>879</v>
      </c>
      <c r="P360" s="7">
        <f t="array" ref="P360">K360*O360</f>
        <v>15523.14</v>
      </c>
      <c r="Q360" s="7">
        <f t="array" ref="Q360">L360*O360</f>
        <v>8622.99</v>
      </c>
      <c r="R360" s="7">
        <f t="array" ref="R360">N360*K360</f>
        <v>2234272.56</v>
      </c>
      <c r="S360" s="7">
        <f t="array" ref="S360">N360*K360*O360</f>
        <v>1963925580.24</v>
      </c>
    </row>
    <row r="361" spans="1:19" ht="14.25" customHeight="1" x14ac:dyDescent="0.3">
      <c r="A361">
        <v>360</v>
      </c>
      <c r="B361" s="12">
        <v>45413</v>
      </c>
      <c r="C361" s="5">
        <v>2024</v>
      </c>
      <c r="D361" s="5" t="s">
        <v>25</v>
      </c>
      <c r="E361" s="5" t="s">
        <v>70</v>
      </c>
      <c r="F361" s="6" t="s">
        <v>27</v>
      </c>
      <c r="G361" s="6" t="s">
        <v>64</v>
      </c>
      <c r="H361" s="9" t="s">
        <v>38</v>
      </c>
      <c r="I361" s="9" t="s">
        <v>24</v>
      </c>
      <c r="J361" s="9" t="s">
        <v>49</v>
      </c>
      <c r="K361" s="7">
        <v>17.010000000000002</v>
      </c>
      <c r="L361" s="7">
        <v>8.7200000000000006</v>
      </c>
      <c r="M361" s="8">
        <v>0.48699999999999999</v>
      </c>
      <c r="N361" s="10">
        <v>211956</v>
      </c>
      <c r="O361" s="7">
        <v>879</v>
      </c>
      <c r="P361" s="7">
        <f t="array" ref="P361">K361*O361</f>
        <v>14951.79</v>
      </c>
      <c r="Q361" s="7">
        <f t="array" ref="Q361">L361*O361</f>
        <v>7664.88</v>
      </c>
      <c r="R361" s="7">
        <f t="array" ref="R361">N361*K361</f>
        <v>3605371.5600000005</v>
      </c>
      <c r="S361" s="7">
        <f t="array" ref="S361">N361*K361*O361</f>
        <v>3169121601.2400002</v>
      </c>
    </row>
    <row r="362" spans="1:19" ht="14.25" customHeight="1" x14ac:dyDescent="0.3">
      <c r="A362">
        <v>361</v>
      </c>
      <c r="B362" s="12">
        <v>45413</v>
      </c>
      <c r="C362" s="5">
        <v>2024</v>
      </c>
      <c r="D362" s="5" t="s">
        <v>50</v>
      </c>
      <c r="E362" s="5" t="s">
        <v>60</v>
      </c>
      <c r="F362" s="6" t="s">
        <v>56</v>
      </c>
      <c r="G362" s="6" t="s">
        <v>64</v>
      </c>
      <c r="H362" s="9" t="s">
        <v>38</v>
      </c>
      <c r="I362" s="9" t="s">
        <v>29</v>
      </c>
      <c r="J362" s="9" t="s">
        <v>31</v>
      </c>
      <c r="K362" s="7">
        <v>18.510000000000002</v>
      </c>
      <c r="L362" s="7">
        <v>11.49</v>
      </c>
      <c r="M362" s="8">
        <v>0.379</v>
      </c>
      <c r="N362" s="10">
        <v>220387</v>
      </c>
      <c r="O362" s="7">
        <v>879</v>
      </c>
      <c r="P362" s="7">
        <f t="array" ref="P362">K362*O362</f>
        <v>16270.29</v>
      </c>
      <c r="Q362" s="7">
        <f t="array" ref="Q362">L362*O362</f>
        <v>10099.710000000001</v>
      </c>
      <c r="R362" s="7">
        <f t="array" ref="R362">N362*K362</f>
        <v>4079363.37</v>
      </c>
      <c r="S362" s="7">
        <f t="array" ref="S362">N362*K362*O362</f>
        <v>3585760402.23</v>
      </c>
    </row>
    <row r="363" spans="1:19" ht="14.25" customHeight="1" x14ac:dyDescent="0.3">
      <c r="A363">
        <v>362</v>
      </c>
      <c r="B363" s="12">
        <v>45413</v>
      </c>
      <c r="C363" s="5">
        <v>2024</v>
      </c>
      <c r="D363" s="5" t="s">
        <v>42</v>
      </c>
      <c r="E363" s="5" t="s">
        <v>43</v>
      </c>
      <c r="F363" s="6" t="s">
        <v>44</v>
      </c>
      <c r="G363" s="6" t="s">
        <v>21</v>
      </c>
      <c r="H363" s="9" t="s">
        <v>28</v>
      </c>
      <c r="I363" s="9" t="s">
        <v>32</v>
      </c>
      <c r="J363" s="9" t="s">
        <v>31</v>
      </c>
      <c r="K363" s="7">
        <v>9.94</v>
      </c>
      <c r="L363" s="7">
        <v>5.0999999999999996</v>
      </c>
      <c r="M363" s="8">
        <v>0.48699999999999999</v>
      </c>
      <c r="N363" s="10">
        <v>220799</v>
      </c>
      <c r="O363" s="7">
        <v>879</v>
      </c>
      <c r="P363" s="7">
        <f t="array" ref="P363">K363*O363</f>
        <v>8737.26</v>
      </c>
      <c r="Q363" s="7">
        <f t="array" ref="Q363">L363*O363</f>
        <v>4482.8999999999996</v>
      </c>
      <c r="R363" s="7">
        <f t="array" ref="R363">N363*K363</f>
        <v>2194742.06</v>
      </c>
      <c r="S363" s="7">
        <f t="array" ref="S363">N363*K363*O363</f>
        <v>1929178270.74</v>
      </c>
    </row>
    <row r="364" spans="1:19" ht="14.25" customHeight="1" x14ac:dyDescent="0.3">
      <c r="A364">
        <v>363</v>
      </c>
      <c r="B364" s="12">
        <v>45413</v>
      </c>
      <c r="C364" s="5">
        <v>2024</v>
      </c>
      <c r="D364" s="5" t="s">
        <v>25</v>
      </c>
      <c r="E364" s="5" t="s">
        <v>26</v>
      </c>
      <c r="F364" s="6" t="s">
        <v>27</v>
      </c>
      <c r="G364" s="6" t="s">
        <v>36</v>
      </c>
      <c r="H364" s="9" t="s">
        <v>23</v>
      </c>
      <c r="I364" s="9" t="s">
        <v>24</v>
      </c>
      <c r="J364" s="9" t="s">
        <v>49</v>
      </c>
      <c r="K364" s="7">
        <v>19.13</v>
      </c>
      <c r="L364" s="7">
        <v>10.6</v>
      </c>
      <c r="M364" s="8">
        <v>0.44600000000000001</v>
      </c>
      <c r="N364" s="10">
        <v>252666</v>
      </c>
      <c r="O364" s="7">
        <v>879</v>
      </c>
      <c r="P364" s="7">
        <f t="array" ref="P364">K364*O364</f>
        <v>16815.27</v>
      </c>
      <c r="Q364" s="7">
        <f t="array" ref="Q364">L364*O364</f>
        <v>9317.4</v>
      </c>
      <c r="R364" s="7">
        <f t="array" ref="R364">N364*K364</f>
        <v>4833500.58</v>
      </c>
      <c r="S364" s="7">
        <f t="array" ref="S364">N364*K364*O364</f>
        <v>4248647009.8200002</v>
      </c>
    </row>
    <row r="365" spans="1:19" ht="14.25" customHeight="1" x14ac:dyDescent="0.3">
      <c r="A365">
        <v>364</v>
      </c>
      <c r="B365" s="12">
        <v>45413</v>
      </c>
      <c r="C365" s="5">
        <v>2024</v>
      </c>
      <c r="D365" s="5" t="s">
        <v>18</v>
      </c>
      <c r="E365" s="5" t="s">
        <v>19</v>
      </c>
      <c r="F365" s="6" t="s">
        <v>20</v>
      </c>
      <c r="G365" s="6" t="s">
        <v>21</v>
      </c>
      <c r="H365" s="9" t="s">
        <v>28</v>
      </c>
      <c r="I365" s="9" t="s">
        <v>32</v>
      </c>
      <c r="J365" s="9" t="s">
        <v>49</v>
      </c>
      <c r="K365" s="7">
        <v>5.52</v>
      </c>
      <c r="L365" s="7">
        <v>4</v>
      </c>
      <c r="M365" s="8">
        <v>0.27500000000000002</v>
      </c>
      <c r="N365" s="10">
        <v>166769</v>
      </c>
      <c r="O365" s="7">
        <v>879</v>
      </c>
      <c r="P365" s="7">
        <f t="array" ref="P365">K365*O365</f>
        <v>4852.08</v>
      </c>
      <c r="Q365" s="7">
        <f t="array" ref="Q365">L365*O365</f>
        <v>3516</v>
      </c>
      <c r="R365" s="7">
        <f t="array" ref="R365">N365*K365</f>
        <v>920564.87999999989</v>
      </c>
      <c r="S365" s="7">
        <f t="array" ref="S365">N365*K365*O365</f>
        <v>809176529.51999986</v>
      </c>
    </row>
    <row r="366" spans="1:19" ht="14.25" customHeight="1" x14ac:dyDescent="0.3">
      <c r="A366">
        <v>365</v>
      </c>
      <c r="B366" s="12">
        <v>45413</v>
      </c>
      <c r="C366" s="5">
        <v>2024</v>
      </c>
      <c r="D366" s="5" t="s">
        <v>39</v>
      </c>
      <c r="E366" s="5" t="s">
        <v>40</v>
      </c>
      <c r="F366" s="6" t="s">
        <v>48</v>
      </c>
      <c r="G366" s="6" t="s">
        <v>21</v>
      </c>
      <c r="H366" s="9" t="s">
        <v>23</v>
      </c>
      <c r="I366" s="9" t="s">
        <v>32</v>
      </c>
      <c r="J366" s="9" t="s">
        <v>22</v>
      </c>
      <c r="K366" s="7">
        <v>6.03</v>
      </c>
      <c r="L366" s="7">
        <v>4.42</v>
      </c>
      <c r="M366" s="8">
        <v>0.26700000000000002</v>
      </c>
      <c r="N366" s="10">
        <v>106930</v>
      </c>
      <c r="O366" s="7">
        <v>879</v>
      </c>
      <c r="P366" s="7">
        <f t="array" ref="P366">K366*O366</f>
        <v>5300.37</v>
      </c>
      <c r="Q366" s="7">
        <f t="array" ref="Q366">L366*O366</f>
        <v>3885.18</v>
      </c>
      <c r="R366" s="7">
        <f t="array" ref="R366">N366*K366</f>
        <v>644787.9</v>
      </c>
      <c r="S366" s="7">
        <f t="array" ref="S366">N366*K366*O366</f>
        <v>566768564.10000002</v>
      </c>
    </row>
    <row r="367" spans="1:19" ht="14.25" customHeight="1" x14ac:dyDescent="0.3">
      <c r="A367">
        <v>366</v>
      </c>
      <c r="B367" s="12">
        <v>45413</v>
      </c>
      <c r="C367" s="5">
        <v>2024</v>
      </c>
      <c r="D367" s="5" t="s">
        <v>50</v>
      </c>
      <c r="E367" s="5" t="s">
        <v>60</v>
      </c>
      <c r="F367" s="6" t="s">
        <v>62</v>
      </c>
      <c r="G367" s="6" t="s">
        <v>21</v>
      </c>
      <c r="H367" s="9" t="s">
        <v>23</v>
      </c>
      <c r="I367" s="9" t="s">
        <v>24</v>
      </c>
      <c r="J367" s="9" t="s">
        <v>31</v>
      </c>
      <c r="K367" s="7">
        <v>14.43</v>
      </c>
      <c r="L367" s="7">
        <v>7.26</v>
      </c>
      <c r="M367" s="8">
        <v>0.497</v>
      </c>
      <c r="N367" s="10">
        <v>210560</v>
      </c>
      <c r="O367" s="7">
        <v>879</v>
      </c>
      <c r="P367" s="7">
        <f t="array" ref="P367">K367*O367</f>
        <v>12683.97</v>
      </c>
      <c r="Q367" s="7">
        <f t="array" ref="Q367">L367*O367</f>
        <v>6381.54</v>
      </c>
      <c r="R367" s="7">
        <f t="array" ref="R367">N367*K367</f>
        <v>3038380.8</v>
      </c>
      <c r="S367" s="7">
        <f t="array" ref="S367">N367*K367*O367</f>
        <v>2670736723.1999998</v>
      </c>
    </row>
    <row r="368" spans="1:19" ht="14.25" customHeight="1" x14ac:dyDescent="0.3">
      <c r="A368">
        <v>367</v>
      </c>
      <c r="B368" s="12">
        <v>45413</v>
      </c>
      <c r="C368" s="5">
        <v>2024</v>
      </c>
      <c r="D368" s="5" t="s">
        <v>18</v>
      </c>
      <c r="E368" s="5" t="s">
        <v>19</v>
      </c>
      <c r="F368" s="6" t="s">
        <v>20</v>
      </c>
      <c r="G368" s="6" t="s">
        <v>64</v>
      </c>
      <c r="H368" s="9" t="s">
        <v>38</v>
      </c>
      <c r="I368" s="9" t="s">
        <v>32</v>
      </c>
      <c r="J368" s="9" t="s">
        <v>31</v>
      </c>
      <c r="K368" s="7">
        <v>14.02</v>
      </c>
      <c r="L368" s="7">
        <v>7.26</v>
      </c>
      <c r="M368" s="8">
        <v>0.48199999999999998</v>
      </c>
      <c r="N368" s="10">
        <v>250332</v>
      </c>
      <c r="O368" s="7">
        <v>879</v>
      </c>
      <c r="P368" s="7">
        <f t="array" ref="P368">K368*O368</f>
        <v>12323.58</v>
      </c>
      <c r="Q368" s="7">
        <f t="array" ref="Q368">L368*O368</f>
        <v>6381.54</v>
      </c>
      <c r="R368" s="7">
        <f t="array" ref="R368">N368*K368</f>
        <v>3509654.6399999997</v>
      </c>
      <c r="S368" s="7">
        <f t="array" ref="S368">N368*K368*O368</f>
        <v>3084986428.5599999</v>
      </c>
    </row>
    <row r="369" spans="1:19" ht="14.25" customHeight="1" x14ac:dyDescent="0.3">
      <c r="A369">
        <v>368</v>
      </c>
      <c r="B369" s="12">
        <v>45413</v>
      </c>
      <c r="C369" s="5">
        <v>2024</v>
      </c>
      <c r="D369" s="5" t="s">
        <v>42</v>
      </c>
      <c r="E369" s="5" t="s">
        <v>66</v>
      </c>
      <c r="F369" s="6" t="s">
        <v>45</v>
      </c>
      <c r="G369" s="6" t="s">
        <v>21</v>
      </c>
      <c r="H369" s="9" t="s">
        <v>28</v>
      </c>
      <c r="I369" s="9" t="s">
        <v>32</v>
      </c>
      <c r="J369" s="9" t="s">
        <v>22</v>
      </c>
      <c r="K369" s="7">
        <v>9.81</v>
      </c>
      <c r="L369" s="7">
        <v>7.63</v>
      </c>
      <c r="M369" s="8">
        <v>0.222</v>
      </c>
      <c r="N369" s="10">
        <v>175859</v>
      </c>
      <c r="O369" s="7">
        <v>879</v>
      </c>
      <c r="P369" s="7">
        <f t="array" ref="P369">K369*O369</f>
        <v>8622.99</v>
      </c>
      <c r="Q369" s="7">
        <f t="array" ref="Q369">L369*O369</f>
        <v>6706.7699999999995</v>
      </c>
      <c r="R369" s="7">
        <f t="array" ref="R369">N369*K369</f>
        <v>1725176.79</v>
      </c>
      <c r="S369" s="7">
        <f t="array" ref="S369">N369*K369*O369</f>
        <v>1516430398.4100001</v>
      </c>
    </row>
    <row r="370" spans="1:19" ht="14.25" customHeight="1" x14ac:dyDescent="0.3">
      <c r="A370">
        <v>369</v>
      </c>
      <c r="B370" s="12">
        <v>45413</v>
      </c>
      <c r="C370" s="5">
        <v>2024</v>
      </c>
      <c r="D370" s="5" t="s">
        <v>25</v>
      </c>
      <c r="E370" s="5" t="s">
        <v>26</v>
      </c>
      <c r="F370" s="6" t="s">
        <v>63</v>
      </c>
      <c r="G370" s="6" t="s">
        <v>36</v>
      </c>
      <c r="H370" s="9" t="s">
        <v>23</v>
      </c>
      <c r="I370" s="9" t="s">
        <v>29</v>
      </c>
      <c r="J370" s="9" t="s">
        <v>31</v>
      </c>
      <c r="K370" s="7">
        <v>13.36</v>
      </c>
      <c r="L370" s="7">
        <v>9.7200000000000006</v>
      </c>
      <c r="M370" s="8">
        <v>0.27200000000000002</v>
      </c>
      <c r="N370" s="10">
        <v>114488</v>
      </c>
      <c r="O370" s="7">
        <v>879</v>
      </c>
      <c r="P370" s="7">
        <f t="array" ref="P370">K370*O370</f>
        <v>11743.439999999999</v>
      </c>
      <c r="Q370" s="7">
        <f t="array" ref="Q370">L370*O370</f>
        <v>8543.880000000001</v>
      </c>
      <c r="R370" s="7">
        <f t="array" ref="R370">N370*K370</f>
        <v>1529559.68</v>
      </c>
      <c r="S370" s="7">
        <f t="array" ref="S370">N370*K370*O370</f>
        <v>1344482958.72</v>
      </c>
    </row>
    <row r="371" spans="1:19" ht="14.25" customHeight="1" x14ac:dyDescent="0.3">
      <c r="A371">
        <v>370</v>
      </c>
      <c r="B371" s="12">
        <v>45444</v>
      </c>
      <c r="C371" s="5">
        <v>2024</v>
      </c>
      <c r="D371" s="5" t="s">
        <v>42</v>
      </c>
      <c r="E371" s="5" t="s">
        <v>43</v>
      </c>
      <c r="F371" s="6" t="s">
        <v>44</v>
      </c>
      <c r="G371" s="6" t="s">
        <v>21</v>
      </c>
      <c r="H371" s="9" t="s">
        <v>38</v>
      </c>
      <c r="I371" s="9" t="s">
        <v>24</v>
      </c>
      <c r="J371" s="9" t="s">
        <v>22</v>
      </c>
      <c r="K371" s="7">
        <v>13.79</v>
      </c>
      <c r="L371" s="7">
        <v>9.48</v>
      </c>
      <c r="M371" s="8">
        <v>0.313</v>
      </c>
      <c r="N371" s="10">
        <v>186546</v>
      </c>
      <c r="O371" s="7">
        <v>896</v>
      </c>
      <c r="P371" s="7">
        <f t="array" ref="P371">K371*O371</f>
        <v>12355.84</v>
      </c>
      <c r="Q371" s="7">
        <f t="array" ref="Q371">L371*O371</f>
        <v>8494.08</v>
      </c>
      <c r="R371" s="7">
        <f t="array" ref="R371">N371*K371</f>
        <v>2572469.34</v>
      </c>
      <c r="S371" s="7">
        <f t="array" ref="S371">N371*K371*O371</f>
        <v>2304932528.6399999</v>
      </c>
    </row>
    <row r="372" spans="1:19" ht="14.25" customHeight="1" x14ac:dyDescent="0.3">
      <c r="A372">
        <v>371</v>
      </c>
      <c r="B372" s="12">
        <v>45444</v>
      </c>
      <c r="C372" s="5">
        <v>2024</v>
      </c>
      <c r="D372" s="5" t="s">
        <v>33</v>
      </c>
      <c r="E372" s="5" t="s">
        <v>57</v>
      </c>
      <c r="F372" s="6" t="s">
        <v>47</v>
      </c>
      <c r="G372" s="6" t="s">
        <v>21</v>
      </c>
      <c r="H372" s="9" t="s">
        <v>23</v>
      </c>
      <c r="I372" s="9" t="s">
        <v>32</v>
      </c>
      <c r="J372" s="9" t="s">
        <v>22</v>
      </c>
      <c r="K372" s="7">
        <v>6.22</v>
      </c>
      <c r="L372" s="7">
        <v>4.7300000000000004</v>
      </c>
      <c r="M372" s="8">
        <v>0.24</v>
      </c>
      <c r="N372" s="10">
        <v>160327</v>
      </c>
      <c r="O372" s="7">
        <v>896</v>
      </c>
      <c r="P372" s="7">
        <f t="array" ref="P372">K372*O372</f>
        <v>5573.12</v>
      </c>
      <c r="Q372" s="7">
        <f t="array" ref="Q372">L372*O372</f>
        <v>4238.08</v>
      </c>
      <c r="R372" s="7">
        <f t="array" ref="R372">N372*K372</f>
        <v>997233.94</v>
      </c>
      <c r="S372" s="7">
        <f t="array" ref="S372">N372*K372*O372</f>
        <v>893521610.24000001</v>
      </c>
    </row>
    <row r="373" spans="1:19" ht="14.25" customHeight="1" x14ac:dyDescent="0.3">
      <c r="A373">
        <v>372</v>
      </c>
      <c r="B373" s="12">
        <v>45444</v>
      </c>
      <c r="C373" s="5">
        <v>2024</v>
      </c>
      <c r="D373" s="5" t="s">
        <v>50</v>
      </c>
      <c r="E373" s="5" t="s">
        <v>60</v>
      </c>
      <c r="F373" s="6" t="s">
        <v>52</v>
      </c>
      <c r="G373" s="6" t="s">
        <v>36</v>
      </c>
      <c r="H373" s="9" t="s">
        <v>23</v>
      </c>
      <c r="I373" s="9" t="s">
        <v>32</v>
      </c>
      <c r="J373" s="9" t="s">
        <v>49</v>
      </c>
      <c r="K373" s="7">
        <v>10.59</v>
      </c>
      <c r="L373" s="7">
        <v>6.38</v>
      </c>
      <c r="M373" s="8">
        <v>0.39800000000000002</v>
      </c>
      <c r="N373" s="10">
        <v>92970</v>
      </c>
      <c r="O373" s="7">
        <v>896</v>
      </c>
      <c r="P373" s="7">
        <f t="array" ref="P373">K373*O373</f>
        <v>9488.64</v>
      </c>
      <c r="Q373" s="7">
        <f t="array" ref="Q373">L373*O373</f>
        <v>5716.48</v>
      </c>
      <c r="R373" s="7">
        <f t="array" ref="R373">N373*K373</f>
        <v>984552.29999999993</v>
      </c>
      <c r="S373" s="7">
        <f t="array" ref="S373">N373*K373*O373</f>
        <v>882158860.79999995</v>
      </c>
    </row>
    <row r="374" spans="1:19" ht="14.25" customHeight="1" x14ac:dyDescent="0.3">
      <c r="A374">
        <v>373</v>
      </c>
      <c r="B374" s="12">
        <v>45444</v>
      </c>
      <c r="C374" s="5">
        <v>2024</v>
      </c>
      <c r="D374" s="5" t="s">
        <v>50</v>
      </c>
      <c r="E374" s="5" t="s">
        <v>67</v>
      </c>
      <c r="F374" s="6" t="s">
        <v>52</v>
      </c>
      <c r="G374" s="6" t="s">
        <v>21</v>
      </c>
      <c r="H374" s="9" t="s">
        <v>23</v>
      </c>
      <c r="I374" s="9" t="s">
        <v>24</v>
      </c>
      <c r="J374" s="9" t="s">
        <v>49</v>
      </c>
      <c r="K374" s="7">
        <v>13.32</v>
      </c>
      <c r="L374" s="7">
        <v>10.56</v>
      </c>
      <c r="M374" s="8">
        <v>0.20699999999999999</v>
      </c>
      <c r="N374" s="10">
        <v>209526</v>
      </c>
      <c r="O374" s="7">
        <v>896</v>
      </c>
      <c r="P374" s="7">
        <f t="array" ref="P374">K374*O374</f>
        <v>11934.720000000001</v>
      </c>
      <c r="Q374" s="7">
        <f t="array" ref="Q374">L374*O374</f>
        <v>9461.76</v>
      </c>
      <c r="R374" s="7">
        <f t="array" ref="R374">N374*K374</f>
        <v>2790886.32</v>
      </c>
      <c r="S374" s="7">
        <f t="array" ref="S374">N374*K374*O374</f>
        <v>2500634142.7199998</v>
      </c>
    </row>
    <row r="375" spans="1:19" ht="14.25" customHeight="1" x14ac:dyDescent="0.3">
      <c r="A375">
        <v>374</v>
      </c>
      <c r="B375" s="12">
        <v>45444</v>
      </c>
      <c r="C375" s="5">
        <v>2024</v>
      </c>
      <c r="D375" s="5" t="s">
        <v>42</v>
      </c>
      <c r="E375" s="5" t="s">
        <v>68</v>
      </c>
      <c r="F375" s="6" t="s">
        <v>45</v>
      </c>
      <c r="G375" s="6" t="s">
        <v>21</v>
      </c>
      <c r="H375" s="9" t="s">
        <v>38</v>
      </c>
      <c r="I375" s="9" t="s">
        <v>32</v>
      </c>
      <c r="J375" s="9" t="s">
        <v>49</v>
      </c>
      <c r="K375" s="7">
        <v>8.35</v>
      </c>
      <c r="L375" s="7">
        <v>4.74</v>
      </c>
      <c r="M375" s="8">
        <v>0.432</v>
      </c>
      <c r="N375" s="10">
        <v>109329</v>
      </c>
      <c r="O375" s="7">
        <v>896</v>
      </c>
      <c r="P375" s="7">
        <f t="array" ref="P375">K375*O375</f>
        <v>7481.5999999999995</v>
      </c>
      <c r="Q375" s="7">
        <f t="array" ref="Q375">L375*O375</f>
        <v>4247.04</v>
      </c>
      <c r="R375" s="7">
        <f t="array" ref="R375">N375*K375</f>
        <v>912897.14999999991</v>
      </c>
      <c r="S375" s="7">
        <f t="array" ref="S375">N375*K375*O375</f>
        <v>817955846.39999986</v>
      </c>
    </row>
    <row r="376" spans="1:19" ht="14.25" customHeight="1" x14ac:dyDescent="0.3">
      <c r="A376">
        <v>375</v>
      </c>
      <c r="B376" s="12">
        <v>45444</v>
      </c>
      <c r="C376" s="5">
        <v>2024</v>
      </c>
      <c r="D376" s="5" t="s">
        <v>39</v>
      </c>
      <c r="E376" s="5" t="s">
        <v>40</v>
      </c>
      <c r="F376" s="6" t="s">
        <v>48</v>
      </c>
      <c r="G376" s="6" t="s">
        <v>21</v>
      </c>
      <c r="H376" s="9" t="s">
        <v>28</v>
      </c>
      <c r="I376" s="9" t="s">
        <v>29</v>
      </c>
      <c r="J376" s="9" t="s">
        <v>49</v>
      </c>
      <c r="K376" s="7">
        <v>19.12</v>
      </c>
      <c r="L376" s="7">
        <v>12.13</v>
      </c>
      <c r="M376" s="8">
        <v>0.36599999999999999</v>
      </c>
      <c r="N376" s="10">
        <v>282800</v>
      </c>
      <c r="O376" s="7">
        <v>896</v>
      </c>
      <c r="P376" s="7">
        <f t="array" ref="P376">K376*O376</f>
        <v>17131.52</v>
      </c>
      <c r="Q376" s="7">
        <f t="array" ref="Q376">L376*O376</f>
        <v>10868.480000000001</v>
      </c>
      <c r="R376" s="7">
        <f t="array" ref="R376">N376*K376</f>
        <v>5407136</v>
      </c>
      <c r="S376" s="7">
        <f t="array" ref="S376">N376*K376*O376</f>
        <v>4844793856</v>
      </c>
    </row>
    <row r="377" spans="1:19" ht="14.25" customHeight="1" x14ac:dyDescent="0.3">
      <c r="A377">
        <v>376</v>
      </c>
      <c r="B377" s="12">
        <v>45444</v>
      </c>
      <c r="C377" s="5">
        <v>2024</v>
      </c>
      <c r="D377" s="5" t="s">
        <v>25</v>
      </c>
      <c r="E377" s="5" t="s">
        <v>53</v>
      </c>
      <c r="F377" s="6" t="s">
        <v>63</v>
      </c>
      <c r="G377" s="6" t="s">
        <v>21</v>
      </c>
      <c r="H377" s="9" t="s">
        <v>23</v>
      </c>
      <c r="I377" s="9" t="s">
        <v>32</v>
      </c>
      <c r="J377" s="9" t="s">
        <v>31</v>
      </c>
      <c r="K377" s="7">
        <v>7.9</v>
      </c>
      <c r="L377" s="7">
        <v>4.0599999999999996</v>
      </c>
      <c r="M377" s="8">
        <v>0.48599999999999999</v>
      </c>
      <c r="N377" s="10">
        <v>71689</v>
      </c>
      <c r="O377" s="7">
        <v>896</v>
      </c>
      <c r="P377" s="7">
        <f t="array" ref="P377">K377*O377</f>
        <v>7078.4000000000005</v>
      </c>
      <c r="Q377" s="7">
        <f t="array" ref="Q377">L377*O377</f>
        <v>3637.7599999999998</v>
      </c>
      <c r="R377" s="7">
        <f t="array" ref="R377">N377*K377</f>
        <v>566343.1</v>
      </c>
      <c r="S377" s="7">
        <f t="array" ref="S377">N377*K377*O377</f>
        <v>507443417.59999996</v>
      </c>
    </row>
    <row r="378" spans="1:19" ht="14.25" customHeight="1" x14ac:dyDescent="0.3">
      <c r="A378">
        <v>377</v>
      </c>
      <c r="B378" s="12">
        <v>45444</v>
      </c>
      <c r="C378" s="5">
        <v>2024</v>
      </c>
      <c r="D378" s="5" t="s">
        <v>42</v>
      </c>
      <c r="E378" s="5" t="s">
        <v>66</v>
      </c>
      <c r="F378" s="6" t="s">
        <v>45</v>
      </c>
      <c r="G378" s="6" t="s">
        <v>36</v>
      </c>
      <c r="H378" s="9" t="s">
        <v>23</v>
      </c>
      <c r="I378" s="9" t="s">
        <v>29</v>
      </c>
      <c r="J378" s="9" t="s">
        <v>49</v>
      </c>
      <c r="K378" s="7">
        <v>5.31</v>
      </c>
      <c r="L378" s="7">
        <v>3.5</v>
      </c>
      <c r="M378" s="8">
        <v>0.34100000000000003</v>
      </c>
      <c r="N378" s="10">
        <v>216784</v>
      </c>
      <c r="O378" s="7">
        <v>896</v>
      </c>
      <c r="P378" s="7">
        <f t="array" ref="P378">K378*O378</f>
        <v>4757.7599999999993</v>
      </c>
      <c r="Q378" s="7">
        <f t="array" ref="Q378">L378*O378</f>
        <v>3136</v>
      </c>
      <c r="R378" s="7">
        <f t="array" ref="R378">N378*K378</f>
        <v>1151123.0399999998</v>
      </c>
      <c r="S378" s="7">
        <f t="array" ref="S378">N378*K378*O378</f>
        <v>1031406243.8399998</v>
      </c>
    </row>
    <row r="379" spans="1:19" ht="14.25" customHeight="1" x14ac:dyDescent="0.3">
      <c r="A379">
        <v>378</v>
      </c>
      <c r="B379" s="12">
        <v>45444</v>
      </c>
      <c r="C379" s="5">
        <v>2024</v>
      </c>
      <c r="D379" s="5" t="s">
        <v>25</v>
      </c>
      <c r="E379" s="5" t="s">
        <v>70</v>
      </c>
      <c r="F379" s="6" t="s">
        <v>27</v>
      </c>
      <c r="G379" s="6" t="s">
        <v>36</v>
      </c>
      <c r="H379" s="9" t="s">
        <v>28</v>
      </c>
      <c r="I379" s="9" t="s">
        <v>29</v>
      </c>
      <c r="J379" s="9" t="s">
        <v>22</v>
      </c>
      <c r="K379" s="7">
        <v>10.96</v>
      </c>
      <c r="L379" s="7">
        <v>7.79</v>
      </c>
      <c r="M379" s="8">
        <v>0.28899999999999998</v>
      </c>
      <c r="N379" s="10">
        <v>171801</v>
      </c>
      <c r="O379" s="7">
        <v>896</v>
      </c>
      <c r="P379" s="7">
        <f t="array" ref="P379">K379*O379</f>
        <v>9820.16</v>
      </c>
      <c r="Q379" s="7">
        <f t="array" ref="Q379">L379*O379</f>
        <v>6979.84</v>
      </c>
      <c r="R379" s="7">
        <f t="array" ref="R379">N379*K379</f>
        <v>1882938.9600000002</v>
      </c>
      <c r="S379" s="7">
        <f t="array" ref="S379">N379*K379*O379</f>
        <v>1687113308.1600001</v>
      </c>
    </row>
    <row r="380" spans="1:19" ht="14.25" customHeight="1" x14ac:dyDescent="0.3">
      <c r="A380">
        <v>379</v>
      </c>
      <c r="B380" s="12">
        <v>45444</v>
      </c>
      <c r="C380" s="5">
        <v>2024</v>
      </c>
      <c r="D380" s="5" t="s">
        <v>33</v>
      </c>
      <c r="E380" s="5" t="s">
        <v>37</v>
      </c>
      <c r="F380" s="6" t="s">
        <v>35</v>
      </c>
      <c r="G380" s="6" t="s">
        <v>36</v>
      </c>
      <c r="H380" s="9" t="s">
        <v>23</v>
      </c>
      <c r="I380" s="9" t="s">
        <v>29</v>
      </c>
      <c r="J380" s="9" t="s">
        <v>49</v>
      </c>
      <c r="K380" s="7">
        <v>10.1</v>
      </c>
      <c r="L380" s="7">
        <v>6.69</v>
      </c>
      <c r="M380" s="8">
        <v>0.33800000000000002</v>
      </c>
      <c r="N380" s="10">
        <v>59419</v>
      </c>
      <c r="O380" s="7">
        <v>896</v>
      </c>
      <c r="P380" s="7">
        <f t="array" ref="P380">K380*O380</f>
        <v>9049.6</v>
      </c>
      <c r="Q380" s="7">
        <f t="array" ref="Q380">L380*O380</f>
        <v>5994.2400000000007</v>
      </c>
      <c r="R380" s="7">
        <f t="array" ref="R380">N380*K380</f>
        <v>600131.9</v>
      </c>
      <c r="S380" s="7">
        <f t="array" ref="S380">N380*K380*O380</f>
        <v>537718182.39999998</v>
      </c>
    </row>
    <row r="381" spans="1:19" ht="14.25" customHeight="1" x14ac:dyDescent="0.3">
      <c r="A381">
        <v>380</v>
      </c>
      <c r="B381" s="12">
        <v>45444</v>
      </c>
      <c r="C381" s="5">
        <v>2024</v>
      </c>
      <c r="D381" s="5" t="s">
        <v>18</v>
      </c>
      <c r="E381" s="5" t="s">
        <v>59</v>
      </c>
      <c r="F381" s="6" t="s">
        <v>54</v>
      </c>
      <c r="G381" s="6" t="s">
        <v>21</v>
      </c>
      <c r="H381" s="9" t="s">
        <v>23</v>
      </c>
      <c r="I381" s="9" t="s">
        <v>29</v>
      </c>
      <c r="J381" s="9" t="s">
        <v>31</v>
      </c>
      <c r="K381" s="7">
        <v>5.7</v>
      </c>
      <c r="L381" s="7">
        <v>3.71</v>
      </c>
      <c r="M381" s="8">
        <v>0.34899999999999998</v>
      </c>
      <c r="N381" s="10">
        <v>94899</v>
      </c>
      <c r="O381" s="7">
        <v>896</v>
      </c>
      <c r="P381" s="7">
        <f t="array" ref="P381">K381*O381</f>
        <v>5107.2</v>
      </c>
      <c r="Q381" s="7">
        <f t="array" ref="Q381">L381*O381</f>
        <v>3324.16</v>
      </c>
      <c r="R381" s="7">
        <f t="array" ref="R381">N381*K381</f>
        <v>540924.30000000005</v>
      </c>
      <c r="S381" s="7">
        <f t="array" ref="S381">N381*K381*O381</f>
        <v>484668172.80000007</v>
      </c>
    </row>
    <row r="382" spans="1:19" ht="14.25" customHeight="1" x14ac:dyDescent="0.3">
      <c r="A382">
        <v>381</v>
      </c>
      <c r="B382" s="12">
        <v>45444</v>
      </c>
      <c r="C382" s="5">
        <v>2024</v>
      </c>
      <c r="D382" s="5" t="s">
        <v>18</v>
      </c>
      <c r="E382" s="5" t="s">
        <v>59</v>
      </c>
      <c r="F382" s="6" t="s">
        <v>54</v>
      </c>
      <c r="G382" s="6" t="s">
        <v>36</v>
      </c>
      <c r="H382" s="9" t="s">
        <v>28</v>
      </c>
      <c r="I382" s="9" t="s">
        <v>32</v>
      </c>
      <c r="J382" s="9" t="s">
        <v>22</v>
      </c>
      <c r="K382" s="7">
        <v>19.71</v>
      </c>
      <c r="L382" s="7">
        <v>11.44</v>
      </c>
      <c r="M382" s="8">
        <v>0.42</v>
      </c>
      <c r="N382" s="10">
        <v>130696</v>
      </c>
      <c r="O382" s="7">
        <v>896</v>
      </c>
      <c r="P382" s="7">
        <f t="array" ref="P382">K382*O382</f>
        <v>17660.16</v>
      </c>
      <c r="Q382" s="7">
        <f t="array" ref="Q382">L382*O382</f>
        <v>10250.24</v>
      </c>
      <c r="R382" s="7">
        <f t="array" ref="R382">N382*K382</f>
        <v>2576018.16</v>
      </c>
      <c r="S382" s="7">
        <f t="array" ref="S382">N382*K382*O382</f>
        <v>2308112271.3600001</v>
      </c>
    </row>
    <row r="383" spans="1:19" ht="14.25" customHeight="1" x14ac:dyDescent="0.3">
      <c r="A383">
        <v>382</v>
      </c>
      <c r="B383" s="12">
        <v>45444</v>
      </c>
      <c r="C383" s="5">
        <v>2024</v>
      </c>
      <c r="D383" s="5" t="s">
        <v>42</v>
      </c>
      <c r="E383" s="5" t="s">
        <v>43</v>
      </c>
      <c r="F383" s="6" t="s">
        <v>44</v>
      </c>
      <c r="G383" s="6" t="s">
        <v>36</v>
      </c>
      <c r="H383" s="9" t="s">
        <v>28</v>
      </c>
      <c r="I383" s="9" t="s">
        <v>24</v>
      </c>
      <c r="J383" s="9" t="s">
        <v>31</v>
      </c>
      <c r="K383" s="7">
        <v>6.11</v>
      </c>
      <c r="L383" s="7">
        <v>4.6100000000000003</v>
      </c>
      <c r="M383" s="8">
        <v>0.245</v>
      </c>
      <c r="N383" s="10">
        <v>165547</v>
      </c>
      <c r="O383" s="7">
        <v>896</v>
      </c>
      <c r="P383" s="7">
        <f t="array" ref="P383">K383*O383</f>
        <v>5474.56</v>
      </c>
      <c r="Q383" s="7">
        <f t="array" ref="Q383">L383*O383</f>
        <v>4130.5600000000004</v>
      </c>
      <c r="R383" s="7">
        <f t="array" ref="R383">N383*K383</f>
        <v>1011492.17</v>
      </c>
      <c r="S383" s="7">
        <f t="array" ref="S383">N383*K383*O383</f>
        <v>906296984.32000005</v>
      </c>
    </row>
    <row r="384" spans="1:19" ht="14.25" customHeight="1" x14ac:dyDescent="0.3">
      <c r="A384">
        <v>383</v>
      </c>
      <c r="B384" s="12">
        <v>45444</v>
      </c>
      <c r="C384" s="5">
        <v>2024</v>
      </c>
      <c r="D384" s="5" t="s">
        <v>33</v>
      </c>
      <c r="E384" s="5" t="s">
        <v>34</v>
      </c>
      <c r="F384" s="6" t="s">
        <v>20</v>
      </c>
      <c r="G384" s="6" t="s">
        <v>36</v>
      </c>
      <c r="H384" s="9" t="s">
        <v>23</v>
      </c>
      <c r="I384" s="9" t="s">
        <v>29</v>
      </c>
      <c r="J384" s="9" t="s">
        <v>49</v>
      </c>
      <c r="K384" s="7">
        <v>6.4</v>
      </c>
      <c r="L384" s="7">
        <v>3.72</v>
      </c>
      <c r="M384" s="8">
        <v>0.41899999999999998</v>
      </c>
      <c r="N384" s="10">
        <v>178900</v>
      </c>
      <c r="O384" s="7">
        <v>896</v>
      </c>
      <c r="P384" s="7">
        <f t="array" ref="P384">K384*O384</f>
        <v>5734.4000000000005</v>
      </c>
      <c r="Q384" s="7">
        <f t="array" ref="Q384">L384*O384</f>
        <v>3333.1200000000003</v>
      </c>
      <c r="R384" s="7">
        <f t="array" ref="R384">N384*K384</f>
        <v>1144960</v>
      </c>
      <c r="S384" s="7">
        <f t="array" ref="S384">N384*K384*O384</f>
        <v>1025884160</v>
      </c>
    </row>
    <row r="385" spans="1:19" ht="14.25" customHeight="1" x14ac:dyDescent="0.3">
      <c r="A385">
        <v>384</v>
      </c>
      <c r="B385" s="12">
        <v>45444</v>
      </c>
      <c r="C385" s="5">
        <v>2024</v>
      </c>
      <c r="D385" s="5" t="s">
        <v>33</v>
      </c>
      <c r="E385" s="5" t="s">
        <v>57</v>
      </c>
      <c r="F385" s="6" t="s">
        <v>20</v>
      </c>
      <c r="G385" s="6" t="s">
        <v>36</v>
      </c>
      <c r="H385" s="9" t="s">
        <v>23</v>
      </c>
      <c r="I385" s="9" t="s">
        <v>24</v>
      </c>
      <c r="J385" s="9" t="s">
        <v>31</v>
      </c>
      <c r="K385" s="7">
        <v>13.68</v>
      </c>
      <c r="L385" s="7">
        <v>10.9</v>
      </c>
      <c r="M385" s="8">
        <v>0.20300000000000001</v>
      </c>
      <c r="N385" s="10">
        <v>156200</v>
      </c>
      <c r="O385" s="7">
        <v>896</v>
      </c>
      <c r="P385" s="7">
        <f t="array" ref="P385">K385*O385</f>
        <v>12257.279999999999</v>
      </c>
      <c r="Q385" s="7">
        <f t="array" ref="Q385">L385*O385</f>
        <v>9766.4</v>
      </c>
      <c r="R385" s="7">
        <f t="array" ref="R385">N385*K385</f>
        <v>2136816</v>
      </c>
      <c r="S385" s="7">
        <f t="array" ref="S385">N385*K385*O385</f>
        <v>1914587136</v>
      </c>
    </row>
    <row r="386" spans="1:19" ht="14.25" customHeight="1" x14ac:dyDescent="0.3">
      <c r="A386">
        <v>385</v>
      </c>
      <c r="B386" s="12">
        <v>45444</v>
      </c>
      <c r="C386" s="5">
        <v>2024</v>
      </c>
      <c r="D386" s="5" t="s">
        <v>42</v>
      </c>
      <c r="E386" s="5" t="s">
        <v>68</v>
      </c>
      <c r="F386" s="6" t="s">
        <v>45</v>
      </c>
      <c r="G386" s="6" t="s">
        <v>21</v>
      </c>
      <c r="H386" s="9" t="s">
        <v>38</v>
      </c>
      <c r="I386" s="9" t="s">
        <v>29</v>
      </c>
      <c r="J386" s="9" t="s">
        <v>31</v>
      </c>
      <c r="K386" s="7">
        <v>18.72</v>
      </c>
      <c r="L386" s="7">
        <v>14.6</v>
      </c>
      <c r="M386" s="8">
        <v>0.22</v>
      </c>
      <c r="N386" s="10">
        <v>298218</v>
      </c>
      <c r="O386" s="7">
        <v>896</v>
      </c>
      <c r="P386" s="7">
        <f t="array" ref="P386">K386*O386</f>
        <v>16773.12</v>
      </c>
      <c r="Q386" s="7">
        <f t="array" ref="Q386">L386*O386</f>
        <v>13081.6</v>
      </c>
      <c r="R386" s="7">
        <f t="array" ref="R386">N386*K386</f>
        <v>5582640.96</v>
      </c>
      <c r="S386" s="7">
        <f t="array" ref="S386">N386*K386*O386</f>
        <v>5002046300.1599998</v>
      </c>
    </row>
    <row r="387" spans="1:19" ht="14.25" customHeight="1" x14ac:dyDescent="0.3">
      <c r="A387">
        <v>386</v>
      </c>
      <c r="B387" s="12">
        <v>45444</v>
      </c>
      <c r="C387" s="5">
        <v>2024</v>
      </c>
      <c r="D387" s="5" t="s">
        <v>50</v>
      </c>
      <c r="E387" s="5" t="s">
        <v>51</v>
      </c>
      <c r="F387" s="6" t="s">
        <v>62</v>
      </c>
      <c r="G387" s="6" t="s">
        <v>36</v>
      </c>
      <c r="H387" s="9" t="s">
        <v>23</v>
      </c>
      <c r="I387" s="9" t="s">
        <v>32</v>
      </c>
      <c r="J387" s="9" t="s">
        <v>31</v>
      </c>
      <c r="K387" s="7">
        <v>11.83</v>
      </c>
      <c r="L387" s="7">
        <v>8</v>
      </c>
      <c r="M387" s="8">
        <v>0.32400000000000001</v>
      </c>
      <c r="N387" s="10">
        <v>139052</v>
      </c>
      <c r="O387" s="7">
        <v>896</v>
      </c>
      <c r="P387" s="7">
        <f t="array" ref="P387">K387*O387</f>
        <v>10599.68</v>
      </c>
      <c r="Q387" s="7">
        <f t="array" ref="Q387">L387*O387</f>
        <v>7168</v>
      </c>
      <c r="R387" s="7">
        <f t="array" ref="R387">N387*K387</f>
        <v>1644985.16</v>
      </c>
      <c r="S387" s="7">
        <f t="array" ref="S387">N387*K387*O387</f>
        <v>1473906703.3599999</v>
      </c>
    </row>
    <row r="388" spans="1:19" ht="14.25" customHeight="1" x14ac:dyDescent="0.3">
      <c r="A388">
        <v>387</v>
      </c>
      <c r="B388" s="12">
        <v>45444</v>
      </c>
      <c r="C388" s="5">
        <v>2024</v>
      </c>
      <c r="D388" s="5" t="s">
        <v>18</v>
      </c>
      <c r="E388" s="5" t="s">
        <v>59</v>
      </c>
      <c r="F388" s="6" t="s">
        <v>20</v>
      </c>
      <c r="G388" s="6" t="s">
        <v>21</v>
      </c>
      <c r="H388" s="9" t="s">
        <v>23</v>
      </c>
      <c r="I388" s="9" t="s">
        <v>46</v>
      </c>
      <c r="J388" s="9" t="s">
        <v>49</v>
      </c>
      <c r="K388" s="7">
        <v>6.88</v>
      </c>
      <c r="L388" s="7">
        <v>4.07</v>
      </c>
      <c r="M388" s="8">
        <v>0.40799999999999997</v>
      </c>
      <c r="N388" s="10">
        <v>230343</v>
      </c>
      <c r="O388" s="7">
        <v>896</v>
      </c>
      <c r="P388" s="7">
        <f t="array" ref="P388">K388*O388</f>
        <v>6164.48</v>
      </c>
      <c r="Q388" s="7">
        <f t="array" ref="Q388">L388*O388</f>
        <v>3646.7200000000003</v>
      </c>
      <c r="R388" s="7">
        <f t="array" ref="R388">N388*K388</f>
        <v>1584759.84</v>
      </c>
      <c r="S388" s="7">
        <f t="array" ref="S388">N388*K388*O388</f>
        <v>1419944816.6400001</v>
      </c>
    </row>
    <row r="389" spans="1:19" ht="14.25" customHeight="1" x14ac:dyDescent="0.3">
      <c r="A389">
        <v>388</v>
      </c>
      <c r="B389" s="12">
        <v>45444</v>
      </c>
      <c r="C389" s="5">
        <v>2024</v>
      </c>
      <c r="D389" s="5" t="s">
        <v>25</v>
      </c>
      <c r="E389" s="5" t="s">
        <v>26</v>
      </c>
      <c r="F389" s="6" t="s">
        <v>30</v>
      </c>
      <c r="G389" s="6" t="s">
        <v>21</v>
      </c>
      <c r="H389" s="9" t="s">
        <v>28</v>
      </c>
      <c r="I389" s="9" t="s">
        <v>32</v>
      </c>
      <c r="J389" s="9" t="s">
        <v>22</v>
      </c>
      <c r="K389" s="7">
        <v>14.96</v>
      </c>
      <c r="L389" s="7">
        <v>8.8800000000000008</v>
      </c>
      <c r="M389" s="8">
        <v>0.40600000000000003</v>
      </c>
      <c r="N389" s="10">
        <v>98537</v>
      </c>
      <c r="O389" s="7">
        <v>896</v>
      </c>
      <c r="P389" s="7">
        <f t="array" ref="P389">K389*O389</f>
        <v>13404.16</v>
      </c>
      <c r="Q389" s="7">
        <f t="array" ref="Q389">L389*O389</f>
        <v>7956.4800000000005</v>
      </c>
      <c r="R389" s="7">
        <f t="array" ref="R389">N389*K389</f>
        <v>1474113.52</v>
      </c>
      <c r="S389" s="7">
        <f t="array" ref="S389">N389*K389*O389</f>
        <v>1320805713.9200001</v>
      </c>
    </row>
    <row r="390" spans="1:19" ht="14.25" customHeight="1" x14ac:dyDescent="0.3">
      <c r="A390">
        <v>389</v>
      </c>
      <c r="B390" s="12">
        <v>45444</v>
      </c>
      <c r="C390" s="5">
        <v>2024</v>
      </c>
      <c r="D390" s="5" t="s">
        <v>50</v>
      </c>
      <c r="E390" s="5" t="s">
        <v>60</v>
      </c>
      <c r="F390" s="6" t="s">
        <v>62</v>
      </c>
      <c r="G390" s="6" t="s">
        <v>21</v>
      </c>
      <c r="H390" s="9" t="s">
        <v>38</v>
      </c>
      <c r="I390" s="9" t="s">
        <v>46</v>
      </c>
      <c r="J390" s="9" t="s">
        <v>31</v>
      </c>
      <c r="K390" s="7">
        <v>12.91</v>
      </c>
      <c r="L390" s="7">
        <v>9.34</v>
      </c>
      <c r="M390" s="8">
        <v>0.27700000000000002</v>
      </c>
      <c r="N390" s="10">
        <v>228400</v>
      </c>
      <c r="O390" s="7">
        <v>896</v>
      </c>
      <c r="P390" s="7">
        <f t="array" ref="P390">K390*O390</f>
        <v>11567.36</v>
      </c>
      <c r="Q390" s="7">
        <f t="array" ref="Q390">L390*O390</f>
        <v>8368.64</v>
      </c>
      <c r="R390" s="7">
        <f t="array" ref="R390">N390*K390</f>
        <v>2948644</v>
      </c>
      <c r="S390" s="7">
        <f t="array" ref="S390">N390*K390*O390</f>
        <v>2641985024</v>
      </c>
    </row>
    <row r="391" spans="1:19" ht="14.25" customHeight="1" x14ac:dyDescent="0.3">
      <c r="A391">
        <v>390</v>
      </c>
      <c r="B391" s="12">
        <v>45444</v>
      </c>
      <c r="C391" s="5">
        <v>2024</v>
      </c>
      <c r="D391" s="5" t="s">
        <v>33</v>
      </c>
      <c r="E391" s="5" t="s">
        <v>34</v>
      </c>
      <c r="F391" s="6" t="s">
        <v>20</v>
      </c>
      <c r="G391" s="6" t="s">
        <v>21</v>
      </c>
      <c r="H391" s="9" t="s">
        <v>23</v>
      </c>
      <c r="I391" s="9" t="s">
        <v>29</v>
      </c>
      <c r="J391" s="9" t="s">
        <v>22</v>
      </c>
      <c r="K391" s="7">
        <v>11.87</v>
      </c>
      <c r="L391" s="7">
        <v>6.95</v>
      </c>
      <c r="M391" s="8">
        <v>0.41399999999999998</v>
      </c>
      <c r="N391" s="10">
        <v>71210</v>
      </c>
      <c r="O391" s="7">
        <v>896</v>
      </c>
      <c r="P391" s="7">
        <f t="array" ref="P391">K391*O391</f>
        <v>10635.519999999999</v>
      </c>
      <c r="Q391" s="7">
        <f t="array" ref="Q391">L391*O391</f>
        <v>6227.2</v>
      </c>
      <c r="R391" s="7">
        <f t="array" ref="R391">N391*K391</f>
        <v>845262.7</v>
      </c>
      <c r="S391" s="7">
        <f t="array" ref="S391">N391*K391*O391</f>
        <v>757355379.19999993</v>
      </c>
    </row>
    <row r="392" spans="1:19" ht="14.25" customHeight="1" x14ac:dyDescent="0.3">
      <c r="A392">
        <v>391</v>
      </c>
      <c r="B392" s="12">
        <v>45444</v>
      </c>
      <c r="C392" s="5">
        <v>2024</v>
      </c>
      <c r="D392" s="5" t="s">
        <v>33</v>
      </c>
      <c r="E392" s="5" t="s">
        <v>34</v>
      </c>
      <c r="F392" s="6" t="s">
        <v>47</v>
      </c>
      <c r="G392" s="6" t="s">
        <v>21</v>
      </c>
      <c r="H392" s="9" t="s">
        <v>23</v>
      </c>
      <c r="I392" s="9" t="s">
        <v>32</v>
      </c>
      <c r="J392" s="9" t="s">
        <v>49</v>
      </c>
      <c r="K392" s="7">
        <v>19.55</v>
      </c>
      <c r="L392" s="7">
        <v>10.68</v>
      </c>
      <c r="M392" s="8">
        <v>0.45400000000000001</v>
      </c>
      <c r="N392" s="10">
        <v>133581</v>
      </c>
      <c r="O392" s="7">
        <v>896</v>
      </c>
      <c r="P392" s="7">
        <f t="array" ref="P392">K392*O392</f>
        <v>17516.8</v>
      </c>
      <c r="Q392" s="7">
        <f t="array" ref="Q392">L392*O392</f>
        <v>9569.2799999999988</v>
      </c>
      <c r="R392" s="7">
        <f t="array" ref="R392">N392*K392</f>
        <v>2611508.5500000003</v>
      </c>
      <c r="S392" s="7">
        <f t="array" ref="S392">N392*K392*O392</f>
        <v>2339911660.8000002</v>
      </c>
    </row>
    <row r="393" spans="1:19" ht="14.25" customHeight="1" x14ac:dyDescent="0.3">
      <c r="A393">
        <v>392</v>
      </c>
      <c r="B393" s="12">
        <v>45474</v>
      </c>
      <c r="C393" s="5">
        <v>2024</v>
      </c>
      <c r="D393" s="5" t="s">
        <v>50</v>
      </c>
      <c r="E393" s="5" t="s">
        <v>51</v>
      </c>
      <c r="F393" s="6" t="s">
        <v>52</v>
      </c>
      <c r="G393" s="6" t="s">
        <v>21</v>
      </c>
      <c r="H393" s="9" t="s">
        <v>23</v>
      </c>
      <c r="I393" s="9" t="s">
        <v>29</v>
      </c>
      <c r="J393" s="9" t="s">
        <v>31</v>
      </c>
      <c r="K393" s="7">
        <v>18.53</v>
      </c>
      <c r="L393" s="7">
        <v>14.73</v>
      </c>
      <c r="M393" s="8">
        <v>0.20499999999999999</v>
      </c>
      <c r="N393" s="10">
        <v>193286</v>
      </c>
      <c r="O393" s="7">
        <v>914</v>
      </c>
      <c r="P393" s="7">
        <f t="array" ref="P393">K393*O393</f>
        <v>16936.420000000002</v>
      </c>
      <c r="Q393" s="7">
        <f t="array" ref="Q393">L393*O393</f>
        <v>13463.220000000001</v>
      </c>
      <c r="R393" s="7">
        <f t="array" ref="R393">N393*K393</f>
        <v>3581589.58</v>
      </c>
      <c r="S393" s="7">
        <f t="array" ref="S393">N393*K393*O393</f>
        <v>3273572876.1199999</v>
      </c>
    </row>
    <row r="394" spans="1:19" ht="14.25" customHeight="1" x14ac:dyDescent="0.3">
      <c r="A394">
        <v>393</v>
      </c>
      <c r="B394" s="12">
        <v>45474</v>
      </c>
      <c r="C394" s="5">
        <v>2024</v>
      </c>
      <c r="D394" s="5" t="s">
        <v>18</v>
      </c>
      <c r="E394" s="5" t="s">
        <v>59</v>
      </c>
      <c r="F394" s="6" t="s">
        <v>20</v>
      </c>
      <c r="G394" s="6" t="s">
        <v>36</v>
      </c>
      <c r="H394" s="9" t="s">
        <v>28</v>
      </c>
      <c r="I394" s="9" t="s">
        <v>32</v>
      </c>
      <c r="J394" s="9" t="s">
        <v>31</v>
      </c>
      <c r="K394" s="7">
        <v>15.53</v>
      </c>
      <c r="L394" s="7">
        <v>12.26</v>
      </c>
      <c r="M394" s="8">
        <v>0.21099999999999999</v>
      </c>
      <c r="N394" s="10">
        <v>104161</v>
      </c>
      <c r="O394" s="7">
        <v>914</v>
      </c>
      <c r="P394" s="7">
        <f t="array" ref="P394">K394*O394</f>
        <v>14194.42</v>
      </c>
      <c r="Q394" s="7">
        <f t="array" ref="Q394">L394*O394</f>
        <v>11205.64</v>
      </c>
      <c r="R394" s="7">
        <f t="array" ref="R394">N394*K394</f>
        <v>1617620.3299999998</v>
      </c>
      <c r="S394" s="7">
        <f t="array" ref="S394">N394*K394*O394</f>
        <v>1478504981.6199999</v>
      </c>
    </row>
    <row r="395" spans="1:19" ht="14.25" customHeight="1" x14ac:dyDescent="0.3">
      <c r="A395">
        <v>394</v>
      </c>
      <c r="B395" s="12">
        <v>45474</v>
      </c>
      <c r="C395" s="5">
        <v>2024</v>
      </c>
      <c r="D395" s="5" t="s">
        <v>50</v>
      </c>
      <c r="E395" s="5" t="s">
        <v>67</v>
      </c>
      <c r="F395" s="6" t="s">
        <v>52</v>
      </c>
      <c r="G395" s="6" t="s">
        <v>21</v>
      </c>
      <c r="H395" s="9" t="s">
        <v>28</v>
      </c>
      <c r="I395" s="9" t="s">
        <v>29</v>
      </c>
      <c r="J395" s="9" t="s">
        <v>22</v>
      </c>
      <c r="K395" s="7">
        <v>12.22</v>
      </c>
      <c r="L395" s="7">
        <v>7.02</v>
      </c>
      <c r="M395" s="8">
        <v>0.42599999999999999</v>
      </c>
      <c r="N395" s="10">
        <v>179359</v>
      </c>
      <c r="O395" s="7">
        <v>914</v>
      </c>
      <c r="P395" s="7">
        <f t="array" ref="P395">K395*O395</f>
        <v>11169.08</v>
      </c>
      <c r="Q395" s="7">
        <f t="array" ref="Q395">L395*O395</f>
        <v>6416.28</v>
      </c>
      <c r="R395" s="7">
        <f t="array" ref="R395">N395*K395</f>
        <v>2191766.98</v>
      </c>
      <c r="S395" s="7">
        <f t="array" ref="S395">N395*K395*O395</f>
        <v>2003275019.72</v>
      </c>
    </row>
    <row r="396" spans="1:19" ht="14.25" customHeight="1" x14ac:dyDescent="0.3">
      <c r="A396">
        <v>395</v>
      </c>
      <c r="B396" s="12">
        <v>45474</v>
      </c>
      <c r="C396" s="5">
        <v>2024</v>
      </c>
      <c r="D396" s="5" t="s">
        <v>39</v>
      </c>
      <c r="E396" s="5" t="s">
        <v>40</v>
      </c>
      <c r="F396" s="6" t="s">
        <v>41</v>
      </c>
      <c r="G396" s="6" t="s">
        <v>21</v>
      </c>
      <c r="H396" s="9" t="s">
        <v>23</v>
      </c>
      <c r="I396" s="9" t="s">
        <v>32</v>
      </c>
      <c r="J396" s="9" t="s">
        <v>22</v>
      </c>
      <c r="K396" s="7">
        <v>6.83</v>
      </c>
      <c r="L396" s="7">
        <v>5.23</v>
      </c>
      <c r="M396" s="8">
        <v>0.23400000000000001</v>
      </c>
      <c r="N396" s="10">
        <v>55271</v>
      </c>
      <c r="O396" s="7">
        <v>914</v>
      </c>
      <c r="P396" s="7">
        <f t="array" ref="P396">K396*O396</f>
        <v>6242.62</v>
      </c>
      <c r="Q396" s="7">
        <f t="array" ref="Q396">L396*O396</f>
        <v>4780.22</v>
      </c>
      <c r="R396" s="7">
        <f t="array" ref="R396">N396*K396</f>
        <v>377500.93</v>
      </c>
      <c r="S396" s="7">
        <f t="array" ref="S396">N396*K396*O396</f>
        <v>345035850.01999998</v>
      </c>
    </row>
    <row r="397" spans="1:19" ht="14.25" customHeight="1" x14ac:dyDescent="0.3">
      <c r="A397">
        <v>396</v>
      </c>
      <c r="B397" s="12">
        <v>45474</v>
      </c>
      <c r="C397" s="5">
        <v>2024</v>
      </c>
      <c r="D397" s="5" t="s">
        <v>25</v>
      </c>
      <c r="E397" s="5" t="s">
        <v>26</v>
      </c>
      <c r="F397" s="6" t="s">
        <v>63</v>
      </c>
      <c r="G397" s="6" t="s">
        <v>36</v>
      </c>
      <c r="H397" s="9" t="s">
        <v>38</v>
      </c>
      <c r="I397" s="9" t="s">
        <v>24</v>
      </c>
      <c r="J397" s="9" t="s">
        <v>31</v>
      </c>
      <c r="K397" s="7">
        <v>14.18</v>
      </c>
      <c r="L397" s="7">
        <v>7.78</v>
      </c>
      <c r="M397" s="8">
        <v>0.45100000000000001</v>
      </c>
      <c r="N397" s="10">
        <v>89174</v>
      </c>
      <c r="O397" s="7">
        <v>914</v>
      </c>
      <c r="P397" s="7">
        <f t="array" ref="P397">K397*O397</f>
        <v>12960.52</v>
      </c>
      <c r="Q397" s="7">
        <f t="array" ref="Q397">L397*O397</f>
        <v>7110.92</v>
      </c>
      <c r="R397" s="7">
        <f t="array" ref="R397">N397*K397</f>
        <v>1264487.32</v>
      </c>
      <c r="S397" s="7">
        <f t="array" ref="S397">N397*K397*O397</f>
        <v>1155741410.48</v>
      </c>
    </row>
    <row r="398" spans="1:19" ht="14.25" customHeight="1" x14ac:dyDescent="0.3">
      <c r="A398">
        <v>397</v>
      </c>
      <c r="B398" s="12">
        <v>45474</v>
      </c>
      <c r="C398" s="5">
        <v>2024</v>
      </c>
      <c r="D398" s="5" t="s">
        <v>25</v>
      </c>
      <c r="E398" s="5" t="s">
        <v>53</v>
      </c>
      <c r="F398" s="6" t="s">
        <v>63</v>
      </c>
      <c r="G398" s="6" t="s">
        <v>21</v>
      </c>
      <c r="H398" s="9" t="s">
        <v>23</v>
      </c>
      <c r="I398" s="9" t="s">
        <v>24</v>
      </c>
      <c r="J398" s="9" t="s">
        <v>31</v>
      </c>
      <c r="K398" s="7">
        <v>13.83</v>
      </c>
      <c r="L398" s="7">
        <v>7.68</v>
      </c>
      <c r="M398" s="8">
        <v>0.44500000000000001</v>
      </c>
      <c r="N398" s="10">
        <v>172771</v>
      </c>
      <c r="O398" s="7">
        <v>914</v>
      </c>
      <c r="P398" s="7">
        <f t="array" ref="P398">K398*O398</f>
        <v>12640.62</v>
      </c>
      <c r="Q398" s="7">
        <f t="array" ref="Q398">L398*O398</f>
        <v>7019.5199999999995</v>
      </c>
      <c r="R398" s="7">
        <f t="array" ref="R398">N398*K398</f>
        <v>2389422.9300000002</v>
      </c>
      <c r="S398" s="7">
        <f t="array" ref="S398">N398*K398*O398</f>
        <v>2183932558.02</v>
      </c>
    </row>
    <row r="399" spans="1:19" ht="14.25" customHeight="1" x14ac:dyDescent="0.3">
      <c r="A399">
        <v>398</v>
      </c>
      <c r="B399" s="12">
        <v>45474</v>
      </c>
      <c r="C399" s="5">
        <v>2024</v>
      </c>
      <c r="D399" s="5" t="s">
        <v>42</v>
      </c>
      <c r="E399" s="5" t="s">
        <v>66</v>
      </c>
      <c r="F399" s="6" t="s">
        <v>45</v>
      </c>
      <c r="G399" s="6" t="s">
        <v>64</v>
      </c>
      <c r="H399" s="9" t="s">
        <v>38</v>
      </c>
      <c r="I399" s="9" t="s">
        <v>32</v>
      </c>
      <c r="J399" s="9" t="s">
        <v>22</v>
      </c>
      <c r="K399" s="7">
        <v>10.7</v>
      </c>
      <c r="L399" s="7">
        <v>5.52</v>
      </c>
      <c r="M399" s="8">
        <v>0.48399999999999999</v>
      </c>
      <c r="N399" s="10">
        <v>176916</v>
      </c>
      <c r="O399" s="7">
        <v>914</v>
      </c>
      <c r="P399" s="7">
        <f t="array" ref="P399">K399*O399</f>
        <v>9779.7999999999993</v>
      </c>
      <c r="Q399" s="7">
        <f t="array" ref="Q399">L399*O399</f>
        <v>5045.28</v>
      </c>
      <c r="R399" s="7">
        <f t="array" ref="R399">N399*K399</f>
        <v>1893001.2</v>
      </c>
      <c r="S399" s="7">
        <f t="array" ref="S399">N399*K399*O399</f>
        <v>1730203096.8</v>
      </c>
    </row>
    <row r="400" spans="1:19" ht="14.25" customHeight="1" x14ac:dyDescent="0.3">
      <c r="A400">
        <v>399</v>
      </c>
      <c r="B400" s="12">
        <v>45474</v>
      </c>
      <c r="C400" s="5">
        <v>2024</v>
      </c>
      <c r="D400" s="5" t="s">
        <v>42</v>
      </c>
      <c r="E400" s="5" t="s">
        <v>66</v>
      </c>
      <c r="F400" s="6" t="s">
        <v>45</v>
      </c>
      <c r="G400" s="6" t="s">
        <v>36</v>
      </c>
      <c r="H400" s="9" t="s">
        <v>28</v>
      </c>
      <c r="I400" s="9" t="s">
        <v>29</v>
      </c>
      <c r="J400" s="9" t="s">
        <v>31</v>
      </c>
      <c r="K400" s="7">
        <v>17.739999999999998</v>
      </c>
      <c r="L400" s="7">
        <v>10.37</v>
      </c>
      <c r="M400" s="8">
        <v>0.41499999999999998</v>
      </c>
      <c r="N400" s="10">
        <v>54021</v>
      </c>
      <c r="O400" s="7">
        <v>914</v>
      </c>
      <c r="P400" s="7">
        <f t="array" ref="P400">K400*O400</f>
        <v>16214.359999999999</v>
      </c>
      <c r="Q400" s="7">
        <f t="array" ref="Q400">L400*O400</f>
        <v>9478.1799999999985</v>
      </c>
      <c r="R400" s="7">
        <f t="array" ref="R400">N400*K400</f>
        <v>958332.53999999992</v>
      </c>
      <c r="S400" s="7">
        <f t="array" ref="S400">N400*K400*O400</f>
        <v>875915941.55999994</v>
      </c>
    </row>
    <row r="401" spans="1:19" ht="14.25" customHeight="1" x14ac:dyDescent="0.3">
      <c r="A401">
        <v>400</v>
      </c>
      <c r="B401" s="12">
        <v>45474</v>
      </c>
      <c r="C401" s="5">
        <v>2024</v>
      </c>
      <c r="D401" s="5" t="s">
        <v>18</v>
      </c>
      <c r="E401" s="5" t="s">
        <v>61</v>
      </c>
      <c r="F401" s="6" t="s">
        <v>55</v>
      </c>
      <c r="G401" s="6" t="s">
        <v>36</v>
      </c>
      <c r="H401" s="9" t="s">
        <v>28</v>
      </c>
      <c r="I401" s="9" t="s">
        <v>46</v>
      </c>
      <c r="J401" s="9" t="s">
        <v>31</v>
      </c>
      <c r="K401" s="7">
        <v>12.7</v>
      </c>
      <c r="L401" s="7">
        <v>8.77</v>
      </c>
      <c r="M401" s="8">
        <v>0.309</v>
      </c>
      <c r="N401" s="10">
        <v>151419</v>
      </c>
      <c r="O401" s="7">
        <v>914</v>
      </c>
      <c r="P401" s="7">
        <f t="array" ref="P401">K401*O401</f>
        <v>11607.8</v>
      </c>
      <c r="Q401" s="7">
        <f t="array" ref="Q401">L401*O401</f>
        <v>8015.78</v>
      </c>
      <c r="R401" s="7">
        <f t="array" ref="R401">N401*K401</f>
        <v>1923021.2999999998</v>
      </c>
      <c r="S401" s="7">
        <f t="array" ref="S401">N401*K401*O401</f>
        <v>1757641468.1999998</v>
      </c>
    </row>
    <row r="402" spans="1:19" ht="14.25" customHeight="1" x14ac:dyDescent="0.3">
      <c r="A402">
        <v>401</v>
      </c>
      <c r="B402" s="12">
        <v>45474</v>
      </c>
      <c r="C402" s="5">
        <v>2024</v>
      </c>
      <c r="D402" s="5" t="s">
        <v>39</v>
      </c>
      <c r="E402" s="5" t="s">
        <v>65</v>
      </c>
      <c r="F402" s="6" t="s">
        <v>41</v>
      </c>
      <c r="G402" s="6" t="s">
        <v>21</v>
      </c>
      <c r="H402" s="9" t="s">
        <v>23</v>
      </c>
      <c r="I402" s="9" t="s">
        <v>24</v>
      </c>
      <c r="J402" s="9" t="s">
        <v>22</v>
      </c>
      <c r="K402" s="7">
        <v>6.34</v>
      </c>
      <c r="L402" s="7">
        <v>3.34</v>
      </c>
      <c r="M402" s="8">
        <v>0.47299999999999998</v>
      </c>
      <c r="N402" s="10">
        <v>124940</v>
      </c>
      <c r="O402" s="7">
        <v>914</v>
      </c>
      <c r="P402" s="7">
        <f t="array" ref="P402">K402*O402</f>
        <v>5794.76</v>
      </c>
      <c r="Q402" s="7">
        <f t="array" ref="Q402">L402*O402</f>
        <v>3052.7599999999998</v>
      </c>
      <c r="R402" s="7">
        <f t="array" ref="R402">N402*K402</f>
        <v>792119.6</v>
      </c>
      <c r="S402" s="7">
        <f t="array" ref="S402">N402*K402*O402</f>
        <v>723997314.39999998</v>
      </c>
    </row>
    <row r="403" spans="1:19" ht="14.25" customHeight="1" x14ac:dyDescent="0.3">
      <c r="A403">
        <v>402</v>
      </c>
      <c r="B403" s="12">
        <v>45474</v>
      </c>
      <c r="C403" s="5">
        <v>2024</v>
      </c>
      <c r="D403" s="5" t="s">
        <v>50</v>
      </c>
      <c r="E403" s="5" t="s">
        <v>51</v>
      </c>
      <c r="F403" s="6" t="s">
        <v>52</v>
      </c>
      <c r="G403" s="6" t="s">
        <v>21</v>
      </c>
      <c r="H403" s="9" t="s">
        <v>28</v>
      </c>
      <c r="I403" s="9" t="s">
        <v>24</v>
      </c>
      <c r="J403" s="9" t="s">
        <v>22</v>
      </c>
      <c r="K403" s="7">
        <v>7.68</v>
      </c>
      <c r="L403" s="7">
        <v>3.99</v>
      </c>
      <c r="M403" s="8">
        <v>0.48</v>
      </c>
      <c r="N403" s="10">
        <v>244946</v>
      </c>
      <c r="O403" s="7">
        <v>914</v>
      </c>
      <c r="P403" s="7">
        <f t="array" ref="P403">K403*O403</f>
        <v>7019.5199999999995</v>
      </c>
      <c r="Q403" s="7">
        <f t="array" ref="Q403">L403*O403</f>
        <v>3646.86</v>
      </c>
      <c r="R403" s="7">
        <f t="array" ref="R403">N403*K403</f>
        <v>1881185.28</v>
      </c>
      <c r="S403" s="7">
        <f t="array" ref="S403">N403*K403*O403</f>
        <v>1719403345.9200001</v>
      </c>
    </row>
    <row r="404" spans="1:19" ht="14.25" customHeight="1" x14ac:dyDescent="0.3">
      <c r="A404">
        <v>403</v>
      </c>
      <c r="B404" s="12">
        <v>45474</v>
      </c>
      <c r="C404" s="5">
        <v>2024</v>
      </c>
      <c r="D404" s="5" t="s">
        <v>42</v>
      </c>
      <c r="E404" s="5" t="s">
        <v>66</v>
      </c>
      <c r="F404" s="6" t="s">
        <v>69</v>
      </c>
      <c r="G404" s="6" t="s">
        <v>36</v>
      </c>
      <c r="H404" s="9" t="s">
        <v>23</v>
      </c>
      <c r="I404" s="9" t="s">
        <v>29</v>
      </c>
      <c r="J404" s="9" t="s">
        <v>31</v>
      </c>
      <c r="K404" s="7">
        <v>18.34</v>
      </c>
      <c r="L404" s="7">
        <v>11.35</v>
      </c>
      <c r="M404" s="8">
        <v>0.38100000000000001</v>
      </c>
      <c r="N404" s="10">
        <v>77512</v>
      </c>
      <c r="O404" s="7">
        <v>914</v>
      </c>
      <c r="P404" s="7">
        <f t="array" ref="P404">K404*O404</f>
        <v>16762.759999999998</v>
      </c>
      <c r="Q404" s="7">
        <f t="array" ref="Q404">L404*O404</f>
        <v>10373.9</v>
      </c>
      <c r="R404" s="7">
        <f t="array" ref="R404">N404*K404</f>
        <v>1421570.08</v>
      </c>
      <c r="S404" s="7">
        <f t="array" ref="S404">N404*K404*O404</f>
        <v>1299315053.1200001</v>
      </c>
    </row>
    <row r="405" spans="1:19" ht="14.25" customHeight="1" x14ac:dyDescent="0.3">
      <c r="A405">
        <v>404</v>
      </c>
      <c r="B405" s="12">
        <v>45474</v>
      </c>
      <c r="C405" s="5">
        <v>2024</v>
      </c>
      <c r="D405" s="5" t="s">
        <v>33</v>
      </c>
      <c r="E405" s="5" t="s">
        <v>37</v>
      </c>
      <c r="F405" s="6" t="s">
        <v>35</v>
      </c>
      <c r="G405" s="6" t="s">
        <v>36</v>
      </c>
      <c r="H405" s="9" t="s">
        <v>23</v>
      </c>
      <c r="I405" s="9" t="s">
        <v>24</v>
      </c>
      <c r="J405" s="9" t="s">
        <v>31</v>
      </c>
      <c r="K405" s="7">
        <v>13.57</v>
      </c>
      <c r="L405" s="7">
        <v>7.92</v>
      </c>
      <c r="M405" s="8">
        <v>0.41599999999999998</v>
      </c>
      <c r="N405" s="10">
        <v>200674</v>
      </c>
      <c r="O405" s="7">
        <v>914</v>
      </c>
      <c r="P405" s="7">
        <f t="array" ref="P405">K405*O405</f>
        <v>12402.98</v>
      </c>
      <c r="Q405" s="7">
        <f t="array" ref="Q405">L405*O405</f>
        <v>7238.88</v>
      </c>
      <c r="R405" s="7">
        <f t="array" ref="R405">N405*K405</f>
        <v>2723146.18</v>
      </c>
      <c r="S405" s="7">
        <f t="array" ref="S405">N405*K405*O405</f>
        <v>2488955608.52</v>
      </c>
    </row>
    <row r="406" spans="1:19" ht="14.25" customHeight="1" x14ac:dyDescent="0.3">
      <c r="A406">
        <v>405</v>
      </c>
      <c r="B406" s="12">
        <v>45474</v>
      </c>
      <c r="C406" s="5">
        <v>2024</v>
      </c>
      <c r="D406" s="5" t="s">
        <v>25</v>
      </c>
      <c r="E406" s="5" t="s">
        <v>26</v>
      </c>
      <c r="F406" s="6" t="s">
        <v>30</v>
      </c>
      <c r="G406" s="6" t="s">
        <v>21</v>
      </c>
      <c r="H406" s="9" t="s">
        <v>38</v>
      </c>
      <c r="I406" s="9" t="s">
        <v>24</v>
      </c>
      <c r="J406" s="9" t="s">
        <v>22</v>
      </c>
      <c r="K406" s="7">
        <v>8.35</v>
      </c>
      <c r="L406" s="7">
        <v>5.74</v>
      </c>
      <c r="M406" s="8">
        <v>0.313</v>
      </c>
      <c r="N406" s="10">
        <v>257251</v>
      </c>
      <c r="O406" s="7">
        <v>914</v>
      </c>
      <c r="P406" s="7">
        <f t="array" ref="P406">K406*O406</f>
        <v>7631.9</v>
      </c>
      <c r="Q406" s="7">
        <f t="array" ref="Q406">L406*O406</f>
        <v>5246.3600000000006</v>
      </c>
      <c r="R406" s="7">
        <f t="array" ref="R406">N406*K406</f>
        <v>2148045.85</v>
      </c>
      <c r="S406" s="7">
        <f t="array" ref="S406">N406*K406*O406</f>
        <v>1963313906.9000001</v>
      </c>
    </row>
    <row r="407" spans="1:19" ht="14.25" customHeight="1" x14ac:dyDescent="0.3">
      <c r="A407">
        <v>406</v>
      </c>
      <c r="B407" s="12">
        <v>45474</v>
      </c>
      <c r="C407" s="5">
        <v>2024</v>
      </c>
      <c r="D407" s="5" t="s">
        <v>42</v>
      </c>
      <c r="E407" s="5" t="s">
        <v>66</v>
      </c>
      <c r="F407" s="6" t="s">
        <v>69</v>
      </c>
      <c r="G407" s="6" t="s">
        <v>21</v>
      </c>
      <c r="H407" s="9" t="s">
        <v>38</v>
      </c>
      <c r="I407" s="9" t="s">
        <v>32</v>
      </c>
      <c r="J407" s="9" t="s">
        <v>49</v>
      </c>
      <c r="K407" s="7">
        <v>9.7100000000000009</v>
      </c>
      <c r="L407" s="7">
        <v>5.9</v>
      </c>
      <c r="M407" s="8">
        <v>0.39200000000000002</v>
      </c>
      <c r="N407" s="10">
        <v>122939</v>
      </c>
      <c r="O407" s="7">
        <v>914</v>
      </c>
      <c r="P407" s="7">
        <f t="array" ref="P407">K407*O407</f>
        <v>8874.94</v>
      </c>
      <c r="Q407" s="7">
        <f t="array" ref="Q407">L407*O407</f>
        <v>5392.6</v>
      </c>
      <c r="R407" s="7">
        <f t="array" ref="R407">N407*K407</f>
        <v>1193737.6900000002</v>
      </c>
      <c r="S407" s="7">
        <f t="array" ref="S407">N407*K407*O407</f>
        <v>1091076248.6600001</v>
      </c>
    </row>
    <row r="408" spans="1:19" ht="14.25" customHeight="1" x14ac:dyDescent="0.3">
      <c r="A408">
        <v>407</v>
      </c>
      <c r="B408" s="12">
        <v>45474</v>
      </c>
      <c r="C408" s="5">
        <v>2024</v>
      </c>
      <c r="D408" s="5" t="s">
        <v>25</v>
      </c>
      <c r="E408" s="5" t="s">
        <v>70</v>
      </c>
      <c r="F408" s="6" t="s">
        <v>27</v>
      </c>
      <c r="G408" s="6" t="s">
        <v>21</v>
      </c>
      <c r="H408" s="9" t="s">
        <v>28</v>
      </c>
      <c r="I408" s="9" t="s">
        <v>24</v>
      </c>
      <c r="J408" s="9" t="s">
        <v>31</v>
      </c>
      <c r="K408" s="7">
        <v>7.84</v>
      </c>
      <c r="L408" s="7">
        <v>6.1</v>
      </c>
      <c r="M408" s="8">
        <v>0.222</v>
      </c>
      <c r="N408" s="10">
        <v>283399</v>
      </c>
      <c r="O408" s="7">
        <v>914</v>
      </c>
      <c r="P408" s="7">
        <f t="array" ref="P408">K408*O408</f>
        <v>7165.76</v>
      </c>
      <c r="Q408" s="7">
        <f t="array" ref="Q408">L408*O408</f>
        <v>5575.4</v>
      </c>
      <c r="R408" s="7">
        <f t="array" ref="R408">N408*K408</f>
        <v>2221848.16</v>
      </c>
      <c r="S408" s="7">
        <f t="array" ref="S408">N408*K408*O408</f>
        <v>2030769218.2400002</v>
      </c>
    </row>
    <row r="409" spans="1:19" ht="14.25" customHeight="1" x14ac:dyDescent="0.3">
      <c r="A409">
        <v>408</v>
      </c>
      <c r="B409" s="12">
        <v>45474</v>
      </c>
      <c r="C409" s="5">
        <v>2024</v>
      </c>
      <c r="D409" s="5" t="s">
        <v>18</v>
      </c>
      <c r="E409" s="5" t="s">
        <v>19</v>
      </c>
      <c r="F409" s="6" t="s">
        <v>20</v>
      </c>
      <c r="G409" s="6" t="s">
        <v>21</v>
      </c>
      <c r="H409" s="9" t="s">
        <v>38</v>
      </c>
      <c r="I409" s="9" t="s">
        <v>29</v>
      </c>
      <c r="J409" s="9" t="s">
        <v>22</v>
      </c>
      <c r="K409" s="7">
        <v>14.49</v>
      </c>
      <c r="L409" s="7">
        <v>10.130000000000001</v>
      </c>
      <c r="M409" s="8">
        <v>0.30099999999999999</v>
      </c>
      <c r="N409" s="10">
        <v>90940</v>
      </c>
      <c r="O409" s="7">
        <v>914</v>
      </c>
      <c r="P409" s="7">
        <f t="array" ref="P409">K409*O409</f>
        <v>13243.86</v>
      </c>
      <c r="Q409" s="7">
        <f t="array" ref="Q409">L409*O409</f>
        <v>9258.8200000000015</v>
      </c>
      <c r="R409" s="7">
        <f t="array" ref="R409">N409*K409</f>
        <v>1317720.6000000001</v>
      </c>
      <c r="S409" s="7">
        <f t="array" ref="S409">N409*K409*O409</f>
        <v>1204396628.4000001</v>
      </c>
    </row>
    <row r="410" spans="1:19" ht="14.25" customHeight="1" x14ac:dyDescent="0.3">
      <c r="A410">
        <v>409</v>
      </c>
      <c r="B410" s="12">
        <v>45474</v>
      </c>
      <c r="C410" s="5">
        <v>2024</v>
      </c>
      <c r="D410" s="5" t="s">
        <v>33</v>
      </c>
      <c r="E410" s="5" t="s">
        <v>37</v>
      </c>
      <c r="F410" s="6" t="s">
        <v>35</v>
      </c>
      <c r="G410" s="6" t="s">
        <v>36</v>
      </c>
      <c r="H410" s="9" t="s">
        <v>28</v>
      </c>
      <c r="I410" s="9" t="s">
        <v>46</v>
      </c>
      <c r="J410" s="9" t="s">
        <v>22</v>
      </c>
      <c r="K410" s="7">
        <v>17.64</v>
      </c>
      <c r="L410" s="7">
        <v>13.3</v>
      </c>
      <c r="M410" s="8">
        <v>0.246</v>
      </c>
      <c r="N410" s="10">
        <v>239443</v>
      </c>
      <c r="O410" s="7">
        <v>914</v>
      </c>
      <c r="P410" s="7">
        <f t="array" ref="P410">K410*O410</f>
        <v>16122.960000000001</v>
      </c>
      <c r="Q410" s="7">
        <f t="array" ref="Q410">L410*O410</f>
        <v>12156.2</v>
      </c>
      <c r="R410" s="7">
        <f t="array" ref="R410">N410*K410</f>
        <v>4223774.5200000005</v>
      </c>
      <c r="S410" s="7">
        <f t="array" ref="S410">N410*K410*O410</f>
        <v>3860529911.2800002</v>
      </c>
    </row>
    <row r="411" spans="1:19" ht="14.25" customHeight="1" x14ac:dyDescent="0.3">
      <c r="A411">
        <v>410</v>
      </c>
      <c r="B411" s="12">
        <v>45474</v>
      </c>
      <c r="C411" s="5">
        <v>2024</v>
      </c>
      <c r="D411" s="5" t="s">
        <v>18</v>
      </c>
      <c r="E411" s="5" t="s">
        <v>61</v>
      </c>
      <c r="F411" s="6" t="s">
        <v>55</v>
      </c>
      <c r="G411" s="6" t="s">
        <v>21</v>
      </c>
      <c r="H411" s="9" t="s">
        <v>28</v>
      </c>
      <c r="I411" s="9" t="s">
        <v>24</v>
      </c>
      <c r="J411" s="9" t="s">
        <v>31</v>
      </c>
      <c r="K411" s="7">
        <v>13.99</v>
      </c>
      <c r="L411" s="7">
        <v>8.44</v>
      </c>
      <c r="M411" s="8">
        <v>0.39700000000000002</v>
      </c>
      <c r="N411" s="10">
        <v>198282</v>
      </c>
      <c r="O411" s="7">
        <v>914</v>
      </c>
      <c r="P411" s="7">
        <f t="array" ref="P411">K411*O411</f>
        <v>12786.86</v>
      </c>
      <c r="Q411" s="7">
        <f t="array" ref="Q411">L411*O411</f>
        <v>7714.16</v>
      </c>
      <c r="R411" s="7">
        <f t="array" ref="R411">N411*K411</f>
        <v>2773965.18</v>
      </c>
      <c r="S411" s="7">
        <f t="array" ref="S411">N411*K411*O411</f>
        <v>2535404174.52</v>
      </c>
    </row>
    <row r="412" spans="1:19" ht="14.25" customHeight="1" x14ac:dyDescent="0.3">
      <c r="A412">
        <v>411</v>
      </c>
      <c r="B412" s="12">
        <v>45474</v>
      </c>
      <c r="C412" s="5">
        <v>2024</v>
      </c>
      <c r="D412" s="5" t="s">
        <v>25</v>
      </c>
      <c r="E412" s="5" t="s">
        <v>53</v>
      </c>
      <c r="F412" s="6" t="s">
        <v>27</v>
      </c>
      <c r="G412" s="6" t="s">
        <v>36</v>
      </c>
      <c r="H412" s="9" t="s">
        <v>28</v>
      </c>
      <c r="I412" s="9" t="s">
        <v>29</v>
      </c>
      <c r="J412" s="9" t="s">
        <v>22</v>
      </c>
      <c r="K412" s="7">
        <v>8.9700000000000006</v>
      </c>
      <c r="L412" s="7">
        <v>6.84</v>
      </c>
      <c r="M412" s="8">
        <v>0.23699999999999999</v>
      </c>
      <c r="N412" s="10">
        <v>77542</v>
      </c>
      <c r="O412" s="7">
        <v>914</v>
      </c>
      <c r="P412" s="7">
        <f t="array" ref="P412">K412*O412</f>
        <v>8198.58</v>
      </c>
      <c r="Q412" s="7">
        <f t="array" ref="Q412">L412*O412</f>
        <v>6251.76</v>
      </c>
      <c r="R412" s="7">
        <f t="array" ref="R412">N412*K412</f>
        <v>695551.74000000011</v>
      </c>
      <c r="S412" s="7">
        <f t="array" ref="S412">N412*K412*O412</f>
        <v>635734290.36000013</v>
      </c>
    </row>
    <row r="413" spans="1:19" ht="14.25" customHeight="1" x14ac:dyDescent="0.3">
      <c r="A413">
        <v>412</v>
      </c>
      <c r="B413" s="12">
        <v>45474</v>
      </c>
      <c r="C413" s="5">
        <v>2024</v>
      </c>
      <c r="D413" s="5" t="s">
        <v>18</v>
      </c>
      <c r="E413" s="5" t="s">
        <v>59</v>
      </c>
      <c r="F413" s="6" t="s">
        <v>55</v>
      </c>
      <c r="G413" s="6" t="s">
        <v>36</v>
      </c>
      <c r="H413" s="9" t="s">
        <v>23</v>
      </c>
      <c r="I413" s="9" t="s">
        <v>29</v>
      </c>
      <c r="J413" s="9" t="s">
        <v>31</v>
      </c>
      <c r="K413" s="7">
        <v>10.46</v>
      </c>
      <c r="L413" s="7">
        <v>7.88</v>
      </c>
      <c r="M413" s="8">
        <v>0.247</v>
      </c>
      <c r="N413" s="10">
        <v>151317</v>
      </c>
      <c r="O413" s="7">
        <v>914</v>
      </c>
      <c r="P413" s="7">
        <f t="array" ref="P413">K413*O413</f>
        <v>9560.44</v>
      </c>
      <c r="Q413" s="7">
        <f t="array" ref="Q413">L413*O413</f>
        <v>7202.32</v>
      </c>
      <c r="R413" s="7">
        <f t="array" ref="R413">N413*K413</f>
        <v>1582775.82</v>
      </c>
      <c r="S413" s="7">
        <f t="array" ref="S413">N413*K413*O413</f>
        <v>1446657099.48</v>
      </c>
    </row>
    <row r="414" spans="1:19" ht="14.25" customHeight="1" x14ac:dyDescent="0.3">
      <c r="A414">
        <v>413</v>
      </c>
      <c r="B414" s="12">
        <v>45474</v>
      </c>
      <c r="C414" s="5">
        <v>2024</v>
      </c>
      <c r="D414" s="5" t="s">
        <v>39</v>
      </c>
      <c r="E414" s="5" t="s">
        <v>65</v>
      </c>
      <c r="F414" s="6" t="s">
        <v>20</v>
      </c>
      <c r="G414" s="6" t="s">
        <v>21</v>
      </c>
      <c r="H414" s="9" t="s">
        <v>28</v>
      </c>
      <c r="I414" s="9" t="s">
        <v>29</v>
      </c>
      <c r="J414" s="9" t="s">
        <v>31</v>
      </c>
      <c r="K414" s="7">
        <v>5.34</v>
      </c>
      <c r="L414" s="7">
        <v>3.32</v>
      </c>
      <c r="M414" s="8">
        <v>0.378</v>
      </c>
      <c r="N414" s="10">
        <v>105915</v>
      </c>
      <c r="O414" s="7">
        <v>914</v>
      </c>
      <c r="P414" s="7">
        <f t="array" ref="P414">K414*O414</f>
        <v>4880.76</v>
      </c>
      <c r="Q414" s="7">
        <f t="array" ref="Q414">L414*O414</f>
        <v>3034.48</v>
      </c>
      <c r="R414" s="7">
        <f t="array" ref="R414">N414*K414</f>
        <v>565586.1</v>
      </c>
      <c r="S414" s="7">
        <f t="array" ref="S414">N414*K414*O414</f>
        <v>516945695.39999998</v>
      </c>
    </row>
    <row r="415" spans="1:19" ht="14.25" customHeight="1" x14ac:dyDescent="0.3">
      <c r="A415">
        <v>414</v>
      </c>
      <c r="B415" s="12">
        <v>45474</v>
      </c>
      <c r="C415" s="5">
        <v>2024</v>
      </c>
      <c r="D415" s="5" t="s">
        <v>33</v>
      </c>
      <c r="E415" s="5" t="s">
        <v>57</v>
      </c>
      <c r="F415" s="6" t="s">
        <v>47</v>
      </c>
      <c r="G415" s="6" t="s">
        <v>36</v>
      </c>
      <c r="H415" s="9" t="s">
        <v>23</v>
      </c>
      <c r="I415" s="9" t="s">
        <v>32</v>
      </c>
      <c r="J415" s="9" t="s">
        <v>22</v>
      </c>
      <c r="K415" s="7">
        <v>13.46</v>
      </c>
      <c r="L415" s="7">
        <v>8.75</v>
      </c>
      <c r="M415" s="8">
        <v>0.35</v>
      </c>
      <c r="N415" s="10">
        <v>170987</v>
      </c>
      <c r="O415" s="7">
        <v>914</v>
      </c>
      <c r="P415" s="7">
        <f t="array" ref="P415">K415*O415</f>
        <v>12302.44</v>
      </c>
      <c r="Q415" s="7">
        <f t="array" ref="Q415">L415*O415</f>
        <v>7997.5</v>
      </c>
      <c r="R415" s="7">
        <f t="array" ref="R415">N415*K415</f>
        <v>2301485.02</v>
      </c>
      <c r="S415" s="7">
        <f t="array" ref="S415">N415*K415*O415</f>
        <v>2103557308.28</v>
      </c>
    </row>
    <row r="416" spans="1:19" ht="14.25" customHeight="1" x14ac:dyDescent="0.3">
      <c r="A416">
        <v>415</v>
      </c>
      <c r="B416" s="12">
        <v>45474</v>
      </c>
      <c r="C416" s="5">
        <v>2024</v>
      </c>
      <c r="D416" s="5" t="s">
        <v>25</v>
      </c>
      <c r="E416" s="5" t="s">
        <v>70</v>
      </c>
      <c r="F416" s="6" t="s">
        <v>27</v>
      </c>
      <c r="G416" s="6" t="s">
        <v>36</v>
      </c>
      <c r="H416" s="9" t="s">
        <v>38</v>
      </c>
      <c r="I416" s="9" t="s">
        <v>32</v>
      </c>
      <c r="J416" s="9" t="s">
        <v>22</v>
      </c>
      <c r="K416" s="7">
        <v>14.68</v>
      </c>
      <c r="L416" s="7">
        <v>8.24</v>
      </c>
      <c r="M416" s="8">
        <v>0.439</v>
      </c>
      <c r="N416" s="10">
        <v>163340</v>
      </c>
      <c r="O416" s="7">
        <v>914</v>
      </c>
      <c r="P416" s="7">
        <f t="array" ref="P416">K416*O416</f>
        <v>13417.52</v>
      </c>
      <c r="Q416" s="7">
        <f t="array" ref="Q416">L416*O416</f>
        <v>7531.3600000000006</v>
      </c>
      <c r="R416" s="7">
        <f t="array" ref="R416">N416*K416</f>
        <v>2397831.2000000002</v>
      </c>
      <c r="S416" s="7">
        <f t="array" ref="S416">N416*K416*O416</f>
        <v>2191617716.8000002</v>
      </c>
    </row>
    <row r="417" spans="1:19" ht="14.25" customHeight="1" x14ac:dyDescent="0.3">
      <c r="A417">
        <v>416</v>
      </c>
      <c r="B417" s="12">
        <v>45505</v>
      </c>
      <c r="C417" s="5">
        <v>2024</v>
      </c>
      <c r="D417" s="5" t="s">
        <v>33</v>
      </c>
      <c r="E417" s="5" t="s">
        <v>37</v>
      </c>
      <c r="F417" s="6" t="s">
        <v>20</v>
      </c>
      <c r="G417" s="6" t="s">
        <v>36</v>
      </c>
      <c r="H417" s="9" t="s">
        <v>23</v>
      </c>
      <c r="I417" s="9" t="s">
        <v>46</v>
      </c>
      <c r="J417" s="9" t="s">
        <v>31</v>
      </c>
      <c r="K417" s="7">
        <v>5.65</v>
      </c>
      <c r="L417" s="7">
        <v>3.34</v>
      </c>
      <c r="M417" s="8">
        <v>0.40899999999999997</v>
      </c>
      <c r="N417" s="10">
        <v>50321</v>
      </c>
      <c r="O417" s="7">
        <v>933</v>
      </c>
      <c r="P417" s="7">
        <f t="array" ref="P417">K417*O417</f>
        <v>5271.4500000000007</v>
      </c>
      <c r="Q417" s="7">
        <f t="array" ref="Q417">L417*O417</f>
        <v>3116.22</v>
      </c>
      <c r="R417" s="7">
        <f t="array" ref="R417">N417*K417</f>
        <v>284313.65000000002</v>
      </c>
      <c r="S417" s="7">
        <f t="array" ref="S417">N417*K417*O417</f>
        <v>265264635.45000002</v>
      </c>
    </row>
    <row r="418" spans="1:19" ht="14.25" customHeight="1" x14ac:dyDescent="0.3">
      <c r="A418">
        <v>417</v>
      </c>
      <c r="B418" s="12">
        <v>45505</v>
      </c>
      <c r="C418" s="5">
        <v>2024</v>
      </c>
      <c r="D418" s="5" t="s">
        <v>50</v>
      </c>
      <c r="E418" s="5" t="s">
        <v>60</v>
      </c>
      <c r="F418" s="6" t="s">
        <v>52</v>
      </c>
      <c r="G418" s="6" t="s">
        <v>36</v>
      </c>
      <c r="H418" s="9" t="s">
        <v>23</v>
      </c>
      <c r="I418" s="9" t="s">
        <v>29</v>
      </c>
      <c r="J418" s="9" t="s">
        <v>31</v>
      </c>
      <c r="K418" s="7">
        <v>9.85</v>
      </c>
      <c r="L418" s="7">
        <v>5.49</v>
      </c>
      <c r="M418" s="8">
        <v>0.443</v>
      </c>
      <c r="N418" s="10">
        <v>156789</v>
      </c>
      <c r="O418" s="7">
        <v>933</v>
      </c>
      <c r="P418" s="7">
        <f t="array" ref="P418">K418*O418</f>
        <v>9190.0499999999993</v>
      </c>
      <c r="Q418" s="7">
        <f t="array" ref="Q418">L418*O418</f>
        <v>5122.17</v>
      </c>
      <c r="R418" s="7">
        <f t="array" ref="R418">N418*K418</f>
        <v>1544371.65</v>
      </c>
      <c r="S418" s="7">
        <f t="array" ref="S418">N418*K418*O418</f>
        <v>1440898749.4499998</v>
      </c>
    </row>
    <row r="419" spans="1:19" ht="14.25" customHeight="1" x14ac:dyDescent="0.3">
      <c r="A419">
        <v>418</v>
      </c>
      <c r="B419" s="12">
        <v>45505</v>
      </c>
      <c r="C419" s="5">
        <v>2024</v>
      </c>
      <c r="D419" s="5" t="s">
        <v>50</v>
      </c>
      <c r="E419" s="5" t="s">
        <v>67</v>
      </c>
      <c r="F419" s="6" t="s">
        <v>52</v>
      </c>
      <c r="G419" s="6" t="s">
        <v>21</v>
      </c>
      <c r="H419" s="9" t="s">
        <v>23</v>
      </c>
      <c r="I419" s="9" t="s">
        <v>32</v>
      </c>
      <c r="J419" s="9" t="s">
        <v>22</v>
      </c>
      <c r="K419" s="7">
        <v>13.27</v>
      </c>
      <c r="L419" s="7">
        <v>8.8699999999999992</v>
      </c>
      <c r="M419" s="8">
        <v>0.33200000000000002</v>
      </c>
      <c r="N419" s="10">
        <v>147947</v>
      </c>
      <c r="O419" s="7">
        <v>933</v>
      </c>
      <c r="P419" s="7">
        <f t="array" ref="P419">K419*O419</f>
        <v>12380.91</v>
      </c>
      <c r="Q419" s="7">
        <f t="array" ref="Q419">L419*O419</f>
        <v>8275.7099999999991</v>
      </c>
      <c r="R419" s="7">
        <f t="array" ref="R419">N419*K419</f>
        <v>1963256.69</v>
      </c>
      <c r="S419" s="7">
        <f t="array" ref="S419">N419*K419*O419</f>
        <v>1831718491.77</v>
      </c>
    </row>
    <row r="420" spans="1:19" ht="14.25" customHeight="1" x14ac:dyDescent="0.3">
      <c r="A420">
        <v>419</v>
      </c>
      <c r="B420" s="12">
        <v>45505</v>
      </c>
      <c r="C420" s="5">
        <v>2024</v>
      </c>
      <c r="D420" s="5" t="s">
        <v>25</v>
      </c>
      <c r="E420" s="5" t="s">
        <v>53</v>
      </c>
      <c r="F420" s="6" t="s">
        <v>63</v>
      </c>
      <c r="G420" s="6" t="s">
        <v>21</v>
      </c>
      <c r="H420" s="9" t="s">
        <v>28</v>
      </c>
      <c r="I420" s="9" t="s">
        <v>32</v>
      </c>
      <c r="J420" s="9" t="s">
        <v>49</v>
      </c>
      <c r="K420" s="7">
        <v>6.45</v>
      </c>
      <c r="L420" s="7">
        <v>4.32</v>
      </c>
      <c r="M420" s="8">
        <v>0.33</v>
      </c>
      <c r="N420" s="10">
        <v>81395</v>
      </c>
      <c r="O420" s="7">
        <v>933</v>
      </c>
      <c r="P420" s="7">
        <f t="array" ref="P420">K420*O420</f>
        <v>6017.85</v>
      </c>
      <c r="Q420" s="7">
        <f t="array" ref="Q420">L420*O420</f>
        <v>4030.5600000000004</v>
      </c>
      <c r="R420" s="7">
        <f t="array" ref="R420">N420*K420</f>
        <v>524997.75</v>
      </c>
      <c r="S420" s="7">
        <f t="array" ref="S420">N420*K420*O420</f>
        <v>489822900.75</v>
      </c>
    </row>
    <row r="421" spans="1:19" ht="14.25" customHeight="1" x14ac:dyDescent="0.3">
      <c r="A421">
        <v>420</v>
      </c>
      <c r="B421" s="12">
        <v>45505</v>
      </c>
      <c r="C421" s="5">
        <v>2024</v>
      </c>
      <c r="D421" s="5" t="s">
        <v>18</v>
      </c>
      <c r="E421" s="5" t="s">
        <v>19</v>
      </c>
      <c r="F421" s="6" t="s">
        <v>20</v>
      </c>
      <c r="G421" s="6" t="s">
        <v>36</v>
      </c>
      <c r="H421" s="9" t="s">
        <v>38</v>
      </c>
      <c r="I421" s="9" t="s">
        <v>29</v>
      </c>
      <c r="J421" s="9" t="s">
        <v>22</v>
      </c>
      <c r="K421" s="7">
        <v>17.79</v>
      </c>
      <c r="L421" s="7">
        <v>14</v>
      </c>
      <c r="M421" s="8">
        <v>0.21299999999999999</v>
      </c>
      <c r="N421" s="10">
        <v>192701</v>
      </c>
      <c r="O421" s="7">
        <v>933</v>
      </c>
      <c r="P421" s="7">
        <f t="array" ref="P421">K421*O421</f>
        <v>16598.07</v>
      </c>
      <c r="Q421" s="7">
        <f t="array" ref="Q421">L421*O421</f>
        <v>13062</v>
      </c>
      <c r="R421" s="7">
        <f t="array" ref="R421">N421*K421</f>
        <v>3428150.79</v>
      </c>
      <c r="S421" s="7">
        <f t="array" ref="S421">N421*K421*O421</f>
        <v>3198464687.0700002</v>
      </c>
    </row>
    <row r="422" spans="1:19" ht="14.25" customHeight="1" x14ac:dyDescent="0.3">
      <c r="A422">
        <v>421</v>
      </c>
      <c r="B422" s="12">
        <v>45505</v>
      </c>
      <c r="C422" s="5">
        <v>2024</v>
      </c>
      <c r="D422" s="5" t="s">
        <v>33</v>
      </c>
      <c r="E422" s="5" t="s">
        <v>37</v>
      </c>
      <c r="F422" s="6" t="s">
        <v>20</v>
      </c>
      <c r="G422" s="6" t="s">
        <v>21</v>
      </c>
      <c r="H422" s="9" t="s">
        <v>28</v>
      </c>
      <c r="I422" s="9" t="s">
        <v>29</v>
      </c>
      <c r="J422" s="9" t="s">
        <v>31</v>
      </c>
      <c r="K422" s="7">
        <v>17.850000000000001</v>
      </c>
      <c r="L422" s="7">
        <v>11.4</v>
      </c>
      <c r="M422" s="8">
        <v>0.36099999999999999</v>
      </c>
      <c r="N422" s="10">
        <v>199406</v>
      </c>
      <c r="O422" s="7">
        <v>933</v>
      </c>
      <c r="P422" s="7">
        <f t="array" ref="P422">K422*O422</f>
        <v>16654.050000000003</v>
      </c>
      <c r="Q422" s="7">
        <f t="array" ref="Q422">L422*O422</f>
        <v>10636.2</v>
      </c>
      <c r="R422" s="7">
        <f t="array" ref="R422">N422*K422</f>
        <v>3559397.1</v>
      </c>
      <c r="S422" s="7">
        <f t="array" ref="S422">N422*K422*O422</f>
        <v>3320917494.3000002</v>
      </c>
    </row>
    <row r="423" spans="1:19" ht="14.25" customHeight="1" x14ac:dyDescent="0.3">
      <c r="A423">
        <v>422</v>
      </c>
      <c r="B423" s="12">
        <v>45505</v>
      </c>
      <c r="C423" s="5">
        <v>2024</v>
      </c>
      <c r="D423" s="5" t="s">
        <v>39</v>
      </c>
      <c r="E423" s="5" t="s">
        <v>65</v>
      </c>
      <c r="F423" s="6" t="s">
        <v>20</v>
      </c>
      <c r="G423" s="6" t="s">
        <v>21</v>
      </c>
      <c r="H423" s="9" t="s">
        <v>23</v>
      </c>
      <c r="I423" s="9" t="s">
        <v>32</v>
      </c>
      <c r="J423" s="9" t="s">
        <v>49</v>
      </c>
      <c r="K423" s="7">
        <v>17.079999999999998</v>
      </c>
      <c r="L423" s="7">
        <v>8.89</v>
      </c>
      <c r="M423" s="8">
        <v>0.48</v>
      </c>
      <c r="N423" s="10">
        <v>261113</v>
      </c>
      <c r="O423" s="7">
        <v>933</v>
      </c>
      <c r="P423" s="7">
        <f t="array" ref="P423">K423*O423</f>
        <v>15935.639999999998</v>
      </c>
      <c r="Q423" s="7">
        <f t="array" ref="Q423">L423*O423</f>
        <v>8294.3700000000008</v>
      </c>
      <c r="R423" s="7">
        <f t="array" ref="R423">N423*K423</f>
        <v>4459810.0399999991</v>
      </c>
      <c r="S423" s="7">
        <f t="array" ref="S423">N423*K423*O423</f>
        <v>4161002767.3199992</v>
      </c>
    </row>
    <row r="424" spans="1:19" ht="14.25" customHeight="1" x14ac:dyDescent="0.3">
      <c r="A424">
        <v>423</v>
      </c>
      <c r="B424" s="12">
        <v>45505</v>
      </c>
      <c r="C424" s="5">
        <v>2024</v>
      </c>
      <c r="D424" s="5" t="s">
        <v>39</v>
      </c>
      <c r="E424" s="5" t="s">
        <v>65</v>
      </c>
      <c r="F424" s="6" t="s">
        <v>41</v>
      </c>
      <c r="G424" s="6" t="s">
        <v>21</v>
      </c>
      <c r="H424" s="9" t="s">
        <v>23</v>
      </c>
      <c r="I424" s="9" t="s">
        <v>32</v>
      </c>
      <c r="J424" s="9" t="s">
        <v>49</v>
      </c>
      <c r="K424" s="7">
        <v>9.23</v>
      </c>
      <c r="L424" s="7">
        <v>5.23</v>
      </c>
      <c r="M424" s="8">
        <v>0.433</v>
      </c>
      <c r="N424" s="10">
        <v>62739</v>
      </c>
      <c r="O424" s="7">
        <v>933</v>
      </c>
      <c r="P424" s="7">
        <f t="array" ref="P424">K424*O424</f>
        <v>8611.59</v>
      </c>
      <c r="Q424" s="7">
        <f t="array" ref="Q424">L424*O424</f>
        <v>4879.59</v>
      </c>
      <c r="R424" s="7">
        <f t="array" ref="R424">N424*K424</f>
        <v>579080.97</v>
      </c>
      <c r="S424" s="7">
        <f t="array" ref="S424">N424*K424*O424</f>
        <v>540282545.00999999</v>
      </c>
    </row>
    <row r="425" spans="1:19" ht="14.25" customHeight="1" x14ac:dyDescent="0.3">
      <c r="A425">
        <v>424</v>
      </c>
      <c r="B425" s="12">
        <v>45505</v>
      </c>
      <c r="C425" s="5">
        <v>2024</v>
      </c>
      <c r="D425" s="5" t="s">
        <v>18</v>
      </c>
      <c r="E425" s="5" t="s">
        <v>59</v>
      </c>
      <c r="F425" s="6" t="s">
        <v>55</v>
      </c>
      <c r="G425" s="6" t="s">
        <v>21</v>
      </c>
      <c r="H425" s="9" t="s">
        <v>28</v>
      </c>
      <c r="I425" s="9" t="s">
        <v>32</v>
      </c>
      <c r="J425" s="9" t="s">
        <v>22</v>
      </c>
      <c r="K425" s="7">
        <v>5.37</v>
      </c>
      <c r="L425" s="7">
        <v>2.84</v>
      </c>
      <c r="M425" s="8">
        <v>0.47099999999999997</v>
      </c>
      <c r="N425" s="10">
        <v>283071</v>
      </c>
      <c r="O425" s="7">
        <v>933</v>
      </c>
      <c r="P425" s="7">
        <f t="array" ref="P425">K425*O425</f>
        <v>5010.21</v>
      </c>
      <c r="Q425" s="7">
        <f t="array" ref="Q425">L425*O425</f>
        <v>2649.72</v>
      </c>
      <c r="R425" s="7">
        <f t="array" ref="R425">N425*K425</f>
        <v>1520091.27</v>
      </c>
      <c r="S425" s="7">
        <f t="array" ref="S425">N425*K425*O425</f>
        <v>1418245154.9100001</v>
      </c>
    </row>
    <row r="426" spans="1:19" ht="14.25" customHeight="1" x14ac:dyDescent="0.3">
      <c r="A426">
        <v>425</v>
      </c>
      <c r="B426" s="12">
        <v>45505</v>
      </c>
      <c r="C426" s="5">
        <v>2024</v>
      </c>
      <c r="D426" s="5" t="s">
        <v>50</v>
      </c>
      <c r="E426" s="5" t="s">
        <v>67</v>
      </c>
      <c r="F426" s="6" t="s">
        <v>56</v>
      </c>
      <c r="G426" s="6" t="s">
        <v>21</v>
      </c>
      <c r="H426" s="9" t="s">
        <v>38</v>
      </c>
      <c r="I426" s="9" t="s">
        <v>24</v>
      </c>
      <c r="J426" s="9" t="s">
        <v>22</v>
      </c>
      <c r="K426" s="7">
        <v>10.27</v>
      </c>
      <c r="L426" s="7">
        <v>8.18</v>
      </c>
      <c r="M426" s="8">
        <v>0.20399999999999999</v>
      </c>
      <c r="N426" s="10">
        <v>129760</v>
      </c>
      <c r="O426" s="7">
        <v>933</v>
      </c>
      <c r="P426" s="7">
        <f t="array" ref="P426">K426*O426</f>
        <v>9581.91</v>
      </c>
      <c r="Q426" s="7">
        <f t="array" ref="Q426">L426*O426</f>
        <v>7631.94</v>
      </c>
      <c r="R426" s="7">
        <f t="array" ref="R426">N426*K426</f>
        <v>1332635.2</v>
      </c>
      <c r="S426" s="7">
        <f t="array" ref="S426">N426*K426*O426</f>
        <v>1243348641.5999999</v>
      </c>
    </row>
    <row r="427" spans="1:19" ht="14.25" customHeight="1" x14ac:dyDescent="0.3">
      <c r="A427">
        <v>426</v>
      </c>
      <c r="B427" s="12">
        <v>45505</v>
      </c>
      <c r="C427" s="5">
        <v>2024</v>
      </c>
      <c r="D427" s="5" t="s">
        <v>42</v>
      </c>
      <c r="E427" s="5" t="s">
        <v>43</v>
      </c>
      <c r="F427" s="6" t="s">
        <v>45</v>
      </c>
      <c r="G427" s="6" t="s">
        <v>21</v>
      </c>
      <c r="H427" s="9" t="s">
        <v>23</v>
      </c>
      <c r="I427" s="9" t="s">
        <v>24</v>
      </c>
      <c r="J427" s="9" t="s">
        <v>31</v>
      </c>
      <c r="K427" s="7">
        <v>14.66</v>
      </c>
      <c r="L427" s="7">
        <v>8.98</v>
      </c>
      <c r="M427" s="8">
        <v>0.38700000000000001</v>
      </c>
      <c r="N427" s="10">
        <v>145661</v>
      </c>
      <c r="O427" s="7">
        <v>933</v>
      </c>
      <c r="P427" s="7">
        <f t="array" ref="P427">K427*O427</f>
        <v>13677.78</v>
      </c>
      <c r="Q427" s="7">
        <f t="array" ref="Q427">L427*O427</f>
        <v>8378.34</v>
      </c>
      <c r="R427" s="7">
        <f t="array" ref="R427">N427*K427</f>
        <v>2135390.2600000002</v>
      </c>
      <c r="S427" s="7">
        <f t="array" ref="S427">N427*K427*O427</f>
        <v>1992319112.5800002</v>
      </c>
    </row>
    <row r="428" spans="1:19" ht="14.25" customHeight="1" x14ac:dyDescent="0.3">
      <c r="A428">
        <v>427</v>
      </c>
      <c r="B428" s="12">
        <v>45505</v>
      </c>
      <c r="C428" s="5">
        <v>2024</v>
      </c>
      <c r="D428" s="5" t="s">
        <v>33</v>
      </c>
      <c r="E428" s="5" t="s">
        <v>34</v>
      </c>
      <c r="F428" s="6" t="s">
        <v>47</v>
      </c>
      <c r="G428" s="6" t="s">
        <v>21</v>
      </c>
      <c r="H428" s="9" t="s">
        <v>23</v>
      </c>
      <c r="I428" s="9" t="s">
        <v>32</v>
      </c>
      <c r="J428" s="9" t="s">
        <v>31</v>
      </c>
      <c r="K428" s="7">
        <v>7.4</v>
      </c>
      <c r="L428" s="7">
        <v>3.75</v>
      </c>
      <c r="M428" s="8">
        <v>0.49299999999999999</v>
      </c>
      <c r="N428" s="10">
        <v>79891</v>
      </c>
      <c r="O428" s="7">
        <v>933</v>
      </c>
      <c r="P428" s="7">
        <f t="array" ref="P428">K428*O428</f>
        <v>6904.2000000000007</v>
      </c>
      <c r="Q428" s="7">
        <f t="array" ref="Q428">L428*O428</f>
        <v>3498.75</v>
      </c>
      <c r="R428" s="7">
        <f t="array" ref="R428">N428*K428</f>
        <v>591193.4</v>
      </c>
      <c r="S428" s="7">
        <f t="array" ref="S428">N428*K428*O428</f>
        <v>551583442.20000005</v>
      </c>
    </row>
    <row r="429" spans="1:19" ht="14.25" customHeight="1" x14ac:dyDescent="0.3">
      <c r="A429">
        <v>428</v>
      </c>
      <c r="B429" s="12">
        <v>45505</v>
      </c>
      <c r="C429" s="5">
        <v>2024</v>
      </c>
      <c r="D429" s="5" t="s">
        <v>18</v>
      </c>
      <c r="E429" s="5" t="s">
        <v>59</v>
      </c>
      <c r="F429" s="6" t="s">
        <v>54</v>
      </c>
      <c r="G429" s="6" t="s">
        <v>21</v>
      </c>
      <c r="H429" s="9" t="s">
        <v>28</v>
      </c>
      <c r="I429" s="9" t="s">
        <v>32</v>
      </c>
      <c r="J429" s="9" t="s">
        <v>31</v>
      </c>
      <c r="K429" s="7">
        <v>19.34</v>
      </c>
      <c r="L429" s="7">
        <v>9.98</v>
      </c>
      <c r="M429" s="8">
        <v>0.48399999999999999</v>
      </c>
      <c r="N429" s="10">
        <v>80003</v>
      </c>
      <c r="O429" s="7">
        <v>933</v>
      </c>
      <c r="P429" s="7">
        <f t="array" ref="P429">K429*O429</f>
        <v>18044.22</v>
      </c>
      <c r="Q429" s="7">
        <f t="array" ref="Q429">L429*O429</f>
        <v>9311.34</v>
      </c>
      <c r="R429" s="7">
        <f t="array" ref="R429">N429*K429</f>
        <v>1547258.02</v>
      </c>
      <c r="S429" s="7">
        <f t="array" ref="S429">N429*K429*O429</f>
        <v>1443591732.6600001</v>
      </c>
    </row>
    <row r="430" spans="1:19" ht="14.25" customHeight="1" x14ac:dyDescent="0.3">
      <c r="A430">
        <v>429</v>
      </c>
      <c r="B430" s="12">
        <v>45505</v>
      </c>
      <c r="C430" s="5">
        <v>2024</v>
      </c>
      <c r="D430" s="5" t="s">
        <v>50</v>
      </c>
      <c r="E430" s="5" t="s">
        <v>60</v>
      </c>
      <c r="F430" s="6" t="s">
        <v>56</v>
      </c>
      <c r="G430" s="6" t="s">
        <v>21</v>
      </c>
      <c r="H430" s="9" t="s">
        <v>28</v>
      </c>
      <c r="I430" s="9" t="s">
        <v>24</v>
      </c>
      <c r="J430" s="9" t="s">
        <v>49</v>
      </c>
      <c r="K430" s="7">
        <v>12.15</v>
      </c>
      <c r="L430" s="7">
        <v>8.26</v>
      </c>
      <c r="M430" s="8">
        <v>0.32</v>
      </c>
      <c r="N430" s="10">
        <v>242332</v>
      </c>
      <c r="O430" s="7">
        <v>933</v>
      </c>
      <c r="P430" s="7">
        <f t="array" ref="P430">K430*O430</f>
        <v>11335.95</v>
      </c>
      <c r="Q430" s="7">
        <f t="array" ref="Q430">L430*O430</f>
        <v>7706.58</v>
      </c>
      <c r="R430" s="7">
        <f t="array" ref="R430">N430*K430</f>
        <v>2944333.8000000003</v>
      </c>
      <c r="S430" s="7">
        <f t="array" ref="S430">N430*K430*O430</f>
        <v>2747063435.4000001</v>
      </c>
    </row>
    <row r="431" spans="1:19" ht="14.25" customHeight="1" x14ac:dyDescent="0.3">
      <c r="A431">
        <v>430</v>
      </c>
      <c r="B431" s="12">
        <v>45505</v>
      </c>
      <c r="C431" s="5">
        <v>2024</v>
      </c>
      <c r="D431" s="5" t="s">
        <v>50</v>
      </c>
      <c r="E431" s="5" t="s">
        <v>60</v>
      </c>
      <c r="F431" s="6" t="s">
        <v>52</v>
      </c>
      <c r="G431" s="6" t="s">
        <v>21</v>
      </c>
      <c r="H431" s="9" t="s">
        <v>28</v>
      </c>
      <c r="I431" s="9" t="s">
        <v>29</v>
      </c>
      <c r="J431" s="9" t="s">
        <v>49</v>
      </c>
      <c r="K431" s="7">
        <v>12.18</v>
      </c>
      <c r="L431" s="7">
        <v>8.6999999999999993</v>
      </c>
      <c r="M431" s="8">
        <v>0.28599999999999998</v>
      </c>
      <c r="N431" s="10">
        <v>196291</v>
      </c>
      <c r="O431" s="7">
        <v>933</v>
      </c>
      <c r="P431" s="7">
        <f t="array" ref="P431">K431*O431</f>
        <v>11363.94</v>
      </c>
      <c r="Q431" s="7">
        <f t="array" ref="Q431">L431*O431</f>
        <v>8117.0999999999995</v>
      </c>
      <c r="R431" s="7">
        <f t="array" ref="R431">N431*K431</f>
        <v>2390824.38</v>
      </c>
      <c r="S431" s="7">
        <f t="array" ref="S431">N431*K431*O431</f>
        <v>2230639146.54</v>
      </c>
    </row>
    <row r="432" spans="1:19" ht="14.25" customHeight="1" x14ac:dyDescent="0.3">
      <c r="A432">
        <v>431</v>
      </c>
      <c r="B432" s="12">
        <v>45505</v>
      </c>
      <c r="C432" s="5">
        <v>2024</v>
      </c>
      <c r="D432" s="5" t="s">
        <v>39</v>
      </c>
      <c r="E432" s="5" t="s">
        <v>40</v>
      </c>
      <c r="F432" s="6" t="s">
        <v>48</v>
      </c>
      <c r="G432" s="6" t="s">
        <v>21</v>
      </c>
      <c r="H432" s="9" t="s">
        <v>23</v>
      </c>
      <c r="I432" s="9" t="s">
        <v>29</v>
      </c>
      <c r="J432" s="9" t="s">
        <v>31</v>
      </c>
      <c r="K432" s="7">
        <v>5.99</v>
      </c>
      <c r="L432" s="7">
        <v>3.97</v>
      </c>
      <c r="M432" s="8">
        <v>0.33700000000000002</v>
      </c>
      <c r="N432" s="10">
        <v>115105</v>
      </c>
      <c r="O432" s="7">
        <v>933</v>
      </c>
      <c r="P432" s="7">
        <f t="array" ref="P432">K432*O432</f>
        <v>5588.67</v>
      </c>
      <c r="Q432" s="7">
        <f t="array" ref="Q432">L432*O432</f>
        <v>3704.01</v>
      </c>
      <c r="R432" s="7">
        <f t="array" ref="R432">N432*K432</f>
        <v>689478.95000000007</v>
      </c>
      <c r="S432" s="7">
        <f t="array" ref="S432">N432*K432*O432</f>
        <v>643283860.35000002</v>
      </c>
    </row>
    <row r="433" spans="1:19" ht="14.25" customHeight="1" x14ac:dyDescent="0.3">
      <c r="A433">
        <v>432</v>
      </c>
      <c r="B433" s="12">
        <v>45505</v>
      </c>
      <c r="C433" s="5">
        <v>2024</v>
      </c>
      <c r="D433" s="5" t="s">
        <v>50</v>
      </c>
      <c r="E433" s="5" t="s">
        <v>51</v>
      </c>
      <c r="F433" s="6" t="s">
        <v>62</v>
      </c>
      <c r="G433" s="6" t="s">
        <v>21</v>
      </c>
      <c r="H433" s="9" t="s">
        <v>23</v>
      </c>
      <c r="I433" s="9" t="s">
        <v>32</v>
      </c>
      <c r="J433" s="9" t="s">
        <v>22</v>
      </c>
      <c r="K433" s="7">
        <v>11.8</v>
      </c>
      <c r="L433" s="7">
        <v>7.92</v>
      </c>
      <c r="M433" s="8">
        <v>0.32900000000000001</v>
      </c>
      <c r="N433" s="10">
        <v>184966</v>
      </c>
      <c r="O433" s="7">
        <v>933</v>
      </c>
      <c r="P433" s="7">
        <f t="array" ref="P433">K433*O433</f>
        <v>11009.400000000001</v>
      </c>
      <c r="Q433" s="7">
        <f t="array" ref="Q433">L433*O433</f>
        <v>7389.36</v>
      </c>
      <c r="R433" s="7">
        <f t="array" ref="R433">N433*K433</f>
        <v>2182598.8000000003</v>
      </c>
      <c r="S433" s="7">
        <f t="array" ref="S433">N433*K433*O433</f>
        <v>2036364680.4000003</v>
      </c>
    </row>
    <row r="434" spans="1:19" ht="14.25" customHeight="1" x14ac:dyDescent="0.3">
      <c r="A434">
        <v>433</v>
      </c>
      <c r="B434" s="12">
        <v>45505</v>
      </c>
      <c r="C434" s="5">
        <v>2024</v>
      </c>
      <c r="D434" s="5" t="s">
        <v>50</v>
      </c>
      <c r="E434" s="5" t="s">
        <v>67</v>
      </c>
      <c r="F434" s="6" t="s">
        <v>62</v>
      </c>
      <c r="G434" s="6" t="s">
        <v>21</v>
      </c>
      <c r="H434" s="9" t="s">
        <v>23</v>
      </c>
      <c r="I434" s="9" t="s">
        <v>32</v>
      </c>
      <c r="J434" s="9" t="s">
        <v>49</v>
      </c>
      <c r="K434" s="7">
        <v>15.47</v>
      </c>
      <c r="L434" s="7">
        <v>10.76</v>
      </c>
      <c r="M434" s="8">
        <v>0.30399999999999999</v>
      </c>
      <c r="N434" s="10">
        <v>114807</v>
      </c>
      <c r="O434" s="7">
        <v>933</v>
      </c>
      <c r="P434" s="7">
        <f t="array" ref="P434">K434*O434</f>
        <v>14433.51</v>
      </c>
      <c r="Q434" s="7">
        <f t="array" ref="Q434">L434*O434</f>
        <v>10039.08</v>
      </c>
      <c r="R434" s="7">
        <f t="array" ref="R434">N434*K434</f>
        <v>1776064.29</v>
      </c>
      <c r="S434" s="7">
        <f t="array" ref="S434">N434*K434*O434</f>
        <v>1657067982.5699999</v>
      </c>
    </row>
    <row r="435" spans="1:19" ht="14.25" customHeight="1" x14ac:dyDescent="0.3">
      <c r="A435">
        <v>434</v>
      </c>
      <c r="B435" s="12">
        <v>45536</v>
      </c>
      <c r="C435" s="5">
        <v>2024</v>
      </c>
      <c r="D435" s="5" t="s">
        <v>25</v>
      </c>
      <c r="E435" s="5" t="s">
        <v>26</v>
      </c>
      <c r="F435" s="6" t="s">
        <v>63</v>
      </c>
      <c r="G435" s="6" t="s">
        <v>21</v>
      </c>
      <c r="H435" s="9" t="s">
        <v>23</v>
      </c>
      <c r="I435" s="9" t="s">
        <v>29</v>
      </c>
      <c r="J435" s="9" t="s">
        <v>31</v>
      </c>
      <c r="K435" s="7">
        <v>8.2100000000000009</v>
      </c>
      <c r="L435" s="7">
        <v>4.3600000000000003</v>
      </c>
      <c r="M435" s="8">
        <v>0.46899999999999997</v>
      </c>
      <c r="N435" s="10">
        <v>299055</v>
      </c>
      <c r="O435" s="7">
        <v>953</v>
      </c>
      <c r="P435" s="7">
        <f t="array" ref="P435">K435*O435</f>
        <v>7824.130000000001</v>
      </c>
      <c r="Q435" s="7">
        <f t="array" ref="Q435">L435*O435</f>
        <v>4155.08</v>
      </c>
      <c r="R435" s="7">
        <f t="array" ref="R435">N435*K435</f>
        <v>2455241.5500000003</v>
      </c>
      <c r="S435" s="7">
        <f t="array" ref="S435">N435*K435*O435</f>
        <v>2339845197.1500001</v>
      </c>
    </row>
    <row r="436" spans="1:19" ht="14.25" customHeight="1" x14ac:dyDescent="0.3">
      <c r="A436">
        <v>435</v>
      </c>
      <c r="B436" s="12">
        <v>45536</v>
      </c>
      <c r="C436" s="5">
        <v>2024</v>
      </c>
      <c r="D436" s="5" t="s">
        <v>42</v>
      </c>
      <c r="E436" s="5" t="s">
        <v>68</v>
      </c>
      <c r="F436" s="6" t="s">
        <v>44</v>
      </c>
      <c r="G436" s="6" t="s">
        <v>21</v>
      </c>
      <c r="H436" s="9" t="s">
        <v>23</v>
      </c>
      <c r="I436" s="9" t="s">
        <v>29</v>
      </c>
      <c r="J436" s="9" t="s">
        <v>49</v>
      </c>
      <c r="K436" s="7">
        <v>8.64</v>
      </c>
      <c r="L436" s="7">
        <v>6.07</v>
      </c>
      <c r="M436" s="8">
        <v>0.29699999999999999</v>
      </c>
      <c r="N436" s="10">
        <v>241130</v>
      </c>
      <c r="O436" s="7">
        <v>953</v>
      </c>
      <c r="P436" s="7">
        <f t="array" ref="P436">K436*O436</f>
        <v>8233.92</v>
      </c>
      <c r="Q436" s="7">
        <f t="array" ref="Q436">L436*O436</f>
        <v>5784.71</v>
      </c>
      <c r="R436" s="7">
        <f t="array" ref="R436">N436*K436</f>
        <v>2083363.2000000002</v>
      </c>
      <c r="S436" s="7">
        <f t="array" ref="S436">N436*K436*O436</f>
        <v>1985445129.6000001</v>
      </c>
    </row>
    <row r="437" spans="1:19" ht="14.25" customHeight="1" x14ac:dyDescent="0.3">
      <c r="A437">
        <v>436</v>
      </c>
      <c r="B437" s="12">
        <v>45536</v>
      </c>
      <c r="C437" s="5">
        <v>2024</v>
      </c>
      <c r="D437" s="5" t="s">
        <v>50</v>
      </c>
      <c r="E437" s="5" t="s">
        <v>60</v>
      </c>
      <c r="F437" s="6" t="s">
        <v>62</v>
      </c>
      <c r="G437" s="6" t="s">
        <v>64</v>
      </c>
      <c r="H437" s="9" t="s">
        <v>23</v>
      </c>
      <c r="I437" s="9" t="s">
        <v>24</v>
      </c>
      <c r="J437" s="9" t="s">
        <v>31</v>
      </c>
      <c r="K437" s="7">
        <v>17.66</v>
      </c>
      <c r="L437" s="7">
        <v>12.8</v>
      </c>
      <c r="M437" s="8">
        <v>0.27500000000000002</v>
      </c>
      <c r="N437" s="10">
        <v>85954</v>
      </c>
      <c r="O437" s="7">
        <v>953</v>
      </c>
      <c r="P437" s="7">
        <f t="array" ref="P437">K437*O437</f>
        <v>16829.98</v>
      </c>
      <c r="Q437" s="7">
        <f t="array" ref="Q437">L437*O437</f>
        <v>12198.400000000001</v>
      </c>
      <c r="R437" s="7">
        <f t="array" ref="R437">N437*K437</f>
        <v>1517947.64</v>
      </c>
      <c r="S437" s="7">
        <f t="array" ref="S437">N437*K437*O437</f>
        <v>1446604100.9199998</v>
      </c>
    </row>
    <row r="438" spans="1:19" ht="14.25" customHeight="1" x14ac:dyDescent="0.3">
      <c r="A438">
        <v>437</v>
      </c>
      <c r="B438" s="12">
        <v>45536</v>
      </c>
      <c r="C438" s="5">
        <v>2024</v>
      </c>
      <c r="D438" s="5" t="s">
        <v>18</v>
      </c>
      <c r="E438" s="5" t="s">
        <v>19</v>
      </c>
      <c r="F438" s="6" t="s">
        <v>54</v>
      </c>
      <c r="G438" s="6" t="s">
        <v>21</v>
      </c>
      <c r="H438" s="9" t="s">
        <v>23</v>
      </c>
      <c r="I438" s="9" t="s">
        <v>29</v>
      </c>
      <c r="J438" s="9" t="s">
        <v>31</v>
      </c>
      <c r="K438" s="7">
        <v>11.98</v>
      </c>
      <c r="L438" s="7">
        <v>7.96</v>
      </c>
      <c r="M438" s="8">
        <v>0.33600000000000002</v>
      </c>
      <c r="N438" s="10">
        <v>181241</v>
      </c>
      <c r="O438" s="7">
        <v>953</v>
      </c>
      <c r="P438" s="7">
        <f t="array" ref="P438">K438*O438</f>
        <v>11416.94</v>
      </c>
      <c r="Q438" s="7">
        <f t="array" ref="Q438">L438*O438</f>
        <v>7585.88</v>
      </c>
      <c r="R438" s="7">
        <f t="array" ref="R438">N438*K438</f>
        <v>2171267.1800000002</v>
      </c>
      <c r="S438" s="7">
        <f t="array" ref="S438">N438*K438*O438</f>
        <v>2069217622.5400002</v>
      </c>
    </row>
    <row r="439" spans="1:19" ht="14.25" customHeight="1" x14ac:dyDescent="0.3">
      <c r="A439">
        <v>438</v>
      </c>
      <c r="B439" s="12">
        <v>45536</v>
      </c>
      <c r="C439" s="5">
        <v>2024</v>
      </c>
      <c r="D439" s="5" t="s">
        <v>33</v>
      </c>
      <c r="E439" s="5" t="s">
        <v>57</v>
      </c>
      <c r="F439" s="6" t="s">
        <v>35</v>
      </c>
      <c r="G439" s="6" t="s">
        <v>64</v>
      </c>
      <c r="H439" s="9" t="s">
        <v>38</v>
      </c>
      <c r="I439" s="9" t="s">
        <v>32</v>
      </c>
      <c r="J439" s="9" t="s">
        <v>22</v>
      </c>
      <c r="K439" s="7">
        <v>7.38</v>
      </c>
      <c r="L439" s="7">
        <v>4.8099999999999996</v>
      </c>
      <c r="M439" s="8">
        <v>0.34799999999999998</v>
      </c>
      <c r="N439" s="10">
        <v>264245</v>
      </c>
      <c r="O439" s="7">
        <v>953</v>
      </c>
      <c r="P439" s="7">
        <f t="array" ref="P439">K439*O439</f>
        <v>7033.14</v>
      </c>
      <c r="Q439" s="7">
        <f t="array" ref="Q439">L439*O439</f>
        <v>4583.9299999999994</v>
      </c>
      <c r="R439" s="7">
        <f t="array" ref="R439">N439*K439</f>
        <v>1950128.0999999999</v>
      </c>
      <c r="S439" s="7">
        <f t="array" ref="S439">N439*K439*O439</f>
        <v>1858472079.3</v>
      </c>
    </row>
    <row r="440" spans="1:19" ht="14.25" customHeight="1" x14ac:dyDescent="0.3">
      <c r="A440">
        <v>439</v>
      </c>
      <c r="B440" s="12">
        <v>45536</v>
      </c>
      <c r="C440" s="5">
        <v>2024</v>
      </c>
      <c r="D440" s="5" t="s">
        <v>25</v>
      </c>
      <c r="E440" s="5" t="s">
        <v>70</v>
      </c>
      <c r="F440" s="6" t="s">
        <v>27</v>
      </c>
      <c r="G440" s="6" t="s">
        <v>21</v>
      </c>
      <c r="H440" s="9" t="s">
        <v>28</v>
      </c>
      <c r="I440" s="9" t="s">
        <v>32</v>
      </c>
      <c r="J440" s="9" t="s">
        <v>22</v>
      </c>
      <c r="K440" s="7">
        <v>19.940000000000001</v>
      </c>
      <c r="L440" s="7">
        <v>14.93</v>
      </c>
      <c r="M440" s="8">
        <v>0.251</v>
      </c>
      <c r="N440" s="10">
        <v>54956</v>
      </c>
      <c r="O440" s="7">
        <v>953</v>
      </c>
      <c r="P440" s="7">
        <f t="array" ref="P440">K440*O440</f>
        <v>19002.82</v>
      </c>
      <c r="Q440" s="7">
        <f t="array" ref="Q440">L440*O440</f>
        <v>14228.289999999999</v>
      </c>
      <c r="R440" s="7">
        <f t="array" ref="R440">N440*K440</f>
        <v>1095822.6400000001</v>
      </c>
      <c r="S440" s="7">
        <f t="array" ref="S440">N440*K440*O440</f>
        <v>1044318975.9200001</v>
      </c>
    </row>
    <row r="441" spans="1:19" ht="14.25" customHeight="1" x14ac:dyDescent="0.3">
      <c r="A441">
        <v>440</v>
      </c>
      <c r="B441" s="12">
        <v>45536</v>
      </c>
      <c r="C441" s="5">
        <v>2024</v>
      </c>
      <c r="D441" s="5" t="s">
        <v>18</v>
      </c>
      <c r="E441" s="5" t="s">
        <v>61</v>
      </c>
      <c r="F441" s="6" t="s">
        <v>55</v>
      </c>
      <c r="G441" s="6" t="s">
        <v>21</v>
      </c>
      <c r="H441" s="9" t="s">
        <v>23</v>
      </c>
      <c r="I441" s="9" t="s">
        <v>29</v>
      </c>
      <c r="J441" s="9" t="s">
        <v>49</v>
      </c>
      <c r="K441" s="7">
        <v>16.87</v>
      </c>
      <c r="L441" s="7">
        <v>9.2200000000000006</v>
      </c>
      <c r="M441" s="8">
        <v>0.45300000000000001</v>
      </c>
      <c r="N441" s="10">
        <v>237880</v>
      </c>
      <c r="O441" s="7">
        <v>953</v>
      </c>
      <c r="P441" s="7">
        <f t="array" ref="P441">K441*O441</f>
        <v>16077.11</v>
      </c>
      <c r="Q441" s="7">
        <f t="array" ref="Q441">L441*O441</f>
        <v>8786.66</v>
      </c>
      <c r="R441" s="7">
        <f t="array" ref="R441">N441*K441</f>
        <v>4013035.6</v>
      </c>
      <c r="S441" s="7">
        <f t="array" ref="S441">N441*K441*O441</f>
        <v>3824422926.8000002</v>
      </c>
    </row>
    <row r="442" spans="1:19" ht="14.25" customHeight="1" x14ac:dyDescent="0.3">
      <c r="A442">
        <v>441</v>
      </c>
      <c r="B442" s="12">
        <v>45536</v>
      </c>
      <c r="C442" s="5">
        <v>2024</v>
      </c>
      <c r="D442" s="5" t="s">
        <v>42</v>
      </c>
      <c r="E442" s="5" t="s">
        <v>66</v>
      </c>
      <c r="F442" s="6" t="s">
        <v>69</v>
      </c>
      <c r="G442" s="6" t="s">
        <v>21</v>
      </c>
      <c r="H442" s="9" t="s">
        <v>23</v>
      </c>
      <c r="I442" s="9" t="s">
        <v>24</v>
      </c>
      <c r="J442" s="9" t="s">
        <v>22</v>
      </c>
      <c r="K442" s="7">
        <v>13.09</v>
      </c>
      <c r="L442" s="7">
        <v>7.61</v>
      </c>
      <c r="M442" s="8">
        <v>0.41899999999999998</v>
      </c>
      <c r="N442" s="10">
        <v>115509</v>
      </c>
      <c r="O442" s="7">
        <v>953</v>
      </c>
      <c r="P442" s="7">
        <f t="array" ref="P442">K442*O442</f>
        <v>12474.77</v>
      </c>
      <c r="Q442" s="7">
        <f t="array" ref="Q442">L442*O442</f>
        <v>7252.33</v>
      </c>
      <c r="R442" s="7">
        <f t="array" ref="R442">N442*K442</f>
        <v>1512012.81</v>
      </c>
      <c r="S442" s="7">
        <f t="array" ref="S442">N442*K442*O442</f>
        <v>1440948207.9300001</v>
      </c>
    </row>
    <row r="443" spans="1:19" ht="14.25" customHeight="1" x14ac:dyDescent="0.3">
      <c r="A443">
        <v>442</v>
      </c>
      <c r="B443" s="12">
        <v>45536</v>
      </c>
      <c r="C443" s="5">
        <v>2024</v>
      </c>
      <c r="D443" s="5" t="s">
        <v>50</v>
      </c>
      <c r="E443" s="5" t="s">
        <v>51</v>
      </c>
      <c r="F443" s="6" t="s">
        <v>56</v>
      </c>
      <c r="G443" s="6" t="s">
        <v>36</v>
      </c>
      <c r="H443" s="9" t="s">
        <v>23</v>
      </c>
      <c r="I443" s="9" t="s">
        <v>32</v>
      </c>
      <c r="J443" s="9" t="s">
        <v>49</v>
      </c>
      <c r="K443" s="7">
        <v>8.81</v>
      </c>
      <c r="L443" s="7">
        <v>5.22</v>
      </c>
      <c r="M443" s="8">
        <v>0.40699999999999997</v>
      </c>
      <c r="N443" s="10">
        <v>189382</v>
      </c>
      <c r="O443" s="7">
        <v>953</v>
      </c>
      <c r="P443" s="7">
        <f t="array" ref="P443">K443*O443</f>
        <v>8395.93</v>
      </c>
      <c r="Q443" s="7">
        <f t="array" ref="Q443">L443*O443</f>
        <v>4974.66</v>
      </c>
      <c r="R443" s="7">
        <f t="array" ref="R443">N443*K443</f>
        <v>1668455.4200000002</v>
      </c>
      <c r="S443" s="7">
        <f t="array" ref="S443">N443*K443*O443</f>
        <v>1590038015.2600002</v>
      </c>
    </row>
    <row r="444" spans="1:19" ht="14.25" customHeight="1" x14ac:dyDescent="0.3">
      <c r="A444">
        <v>443</v>
      </c>
      <c r="B444" s="12">
        <v>45536</v>
      </c>
      <c r="C444" s="5">
        <v>2024</v>
      </c>
      <c r="D444" s="5" t="s">
        <v>18</v>
      </c>
      <c r="E444" s="5" t="s">
        <v>61</v>
      </c>
      <c r="F444" s="6" t="s">
        <v>55</v>
      </c>
      <c r="G444" s="6" t="s">
        <v>21</v>
      </c>
      <c r="H444" s="9" t="s">
        <v>28</v>
      </c>
      <c r="I444" s="9" t="s">
        <v>24</v>
      </c>
      <c r="J444" s="9" t="s">
        <v>49</v>
      </c>
      <c r="K444" s="7">
        <v>12.16</v>
      </c>
      <c r="L444" s="7">
        <v>6.2</v>
      </c>
      <c r="M444" s="8">
        <v>0.49</v>
      </c>
      <c r="N444" s="10">
        <v>108932</v>
      </c>
      <c r="O444" s="7">
        <v>953</v>
      </c>
      <c r="P444" s="7">
        <f t="array" ref="P444">K444*O444</f>
        <v>11588.48</v>
      </c>
      <c r="Q444" s="7">
        <f t="array" ref="Q444">L444*O444</f>
        <v>5908.6</v>
      </c>
      <c r="R444" s="7">
        <f t="array" ref="R444">N444*K444</f>
        <v>1324613.1200000001</v>
      </c>
      <c r="S444" s="7">
        <f t="array" ref="S444">N444*K444*O444</f>
        <v>1262356303.3600001</v>
      </c>
    </row>
    <row r="445" spans="1:19" ht="14.25" customHeight="1" x14ac:dyDescent="0.3">
      <c r="A445">
        <v>444</v>
      </c>
      <c r="B445" s="12">
        <v>45536</v>
      </c>
      <c r="C445" s="5">
        <v>2024</v>
      </c>
      <c r="D445" s="5" t="s">
        <v>25</v>
      </c>
      <c r="E445" s="5" t="s">
        <v>26</v>
      </c>
      <c r="F445" s="6" t="s">
        <v>27</v>
      </c>
      <c r="G445" s="6" t="s">
        <v>21</v>
      </c>
      <c r="H445" s="9" t="s">
        <v>23</v>
      </c>
      <c r="I445" s="9" t="s">
        <v>32</v>
      </c>
      <c r="J445" s="9" t="s">
        <v>22</v>
      </c>
      <c r="K445" s="7">
        <v>8.23</v>
      </c>
      <c r="L445" s="7">
        <v>4.2</v>
      </c>
      <c r="M445" s="8">
        <v>0.49</v>
      </c>
      <c r="N445" s="10">
        <v>99116</v>
      </c>
      <c r="O445" s="7">
        <v>953</v>
      </c>
      <c r="P445" s="7">
        <f t="array" ref="P445">K445*O445</f>
        <v>7843.1900000000005</v>
      </c>
      <c r="Q445" s="7">
        <f t="array" ref="Q445">L445*O445</f>
        <v>4002.6000000000004</v>
      </c>
      <c r="R445" s="7">
        <f t="array" ref="R445">N445*K445</f>
        <v>815724.68</v>
      </c>
      <c r="S445" s="7">
        <f t="array" ref="S445">N445*K445*O445</f>
        <v>777385620.04000008</v>
      </c>
    </row>
    <row r="446" spans="1:19" ht="14.25" customHeight="1" x14ac:dyDescent="0.3">
      <c r="A446">
        <v>445</v>
      </c>
      <c r="B446" s="12">
        <v>45536</v>
      </c>
      <c r="C446" s="5">
        <v>2024</v>
      </c>
      <c r="D446" s="5" t="s">
        <v>39</v>
      </c>
      <c r="E446" s="5" t="s">
        <v>40</v>
      </c>
      <c r="F446" s="6" t="s">
        <v>20</v>
      </c>
      <c r="G446" s="6" t="s">
        <v>36</v>
      </c>
      <c r="H446" s="9" t="s">
        <v>23</v>
      </c>
      <c r="I446" s="9" t="s">
        <v>32</v>
      </c>
      <c r="J446" s="9" t="s">
        <v>31</v>
      </c>
      <c r="K446" s="7">
        <v>7.37</v>
      </c>
      <c r="L446" s="7">
        <v>5.87</v>
      </c>
      <c r="M446" s="8">
        <v>0.20399999999999999</v>
      </c>
      <c r="N446" s="10">
        <v>268553</v>
      </c>
      <c r="O446" s="7">
        <v>953</v>
      </c>
      <c r="P446" s="7">
        <f t="array" ref="P446">K446*O446</f>
        <v>7023.61</v>
      </c>
      <c r="Q446" s="7">
        <f t="array" ref="Q446">L446*O446</f>
        <v>5594.11</v>
      </c>
      <c r="R446" s="7">
        <f t="array" ref="R446">N446*K446</f>
        <v>1979235.61</v>
      </c>
      <c r="S446" s="7">
        <f t="array" ref="S446">N446*K446*O446</f>
        <v>1886211536.3300002</v>
      </c>
    </row>
    <row r="447" spans="1:19" ht="14.25" customHeight="1" x14ac:dyDescent="0.3">
      <c r="A447">
        <v>446</v>
      </c>
      <c r="B447" s="12">
        <v>45566</v>
      </c>
      <c r="C447" s="5">
        <v>2024</v>
      </c>
      <c r="D447" s="5" t="s">
        <v>39</v>
      </c>
      <c r="E447" s="5" t="s">
        <v>65</v>
      </c>
      <c r="F447" s="6" t="s">
        <v>48</v>
      </c>
      <c r="G447" s="6" t="s">
        <v>21</v>
      </c>
      <c r="H447" s="9" t="s">
        <v>23</v>
      </c>
      <c r="I447" s="9" t="s">
        <v>29</v>
      </c>
      <c r="J447" s="9" t="s">
        <v>31</v>
      </c>
      <c r="K447" s="7">
        <v>13.51</v>
      </c>
      <c r="L447" s="7">
        <v>6.85</v>
      </c>
      <c r="M447" s="8">
        <v>0.49299999999999999</v>
      </c>
      <c r="N447" s="10">
        <v>129332</v>
      </c>
      <c r="O447" s="7">
        <v>971</v>
      </c>
      <c r="P447" s="7">
        <f t="array" ref="P447">K447*O447</f>
        <v>13118.21</v>
      </c>
      <c r="Q447" s="7">
        <f t="array" ref="Q447">L447*O447</f>
        <v>6651.3499999999995</v>
      </c>
      <c r="R447" s="7">
        <f t="array" ref="R447">N447*K447</f>
        <v>1747275.32</v>
      </c>
      <c r="S447" s="7">
        <f t="array" ref="S447">N447*K447*O447</f>
        <v>1696604335.72</v>
      </c>
    </row>
    <row r="448" spans="1:19" ht="14.25" customHeight="1" x14ac:dyDescent="0.3">
      <c r="A448">
        <v>447</v>
      </c>
      <c r="B448" s="12">
        <v>45566</v>
      </c>
      <c r="C448" s="5">
        <v>2024</v>
      </c>
      <c r="D448" s="5" t="s">
        <v>39</v>
      </c>
      <c r="E448" s="5" t="s">
        <v>58</v>
      </c>
      <c r="F448" s="6" t="s">
        <v>20</v>
      </c>
      <c r="G448" s="6" t="s">
        <v>36</v>
      </c>
      <c r="H448" s="9" t="s">
        <v>38</v>
      </c>
      <c r="I448" s="9" t="s">
        <v>46</v>
      </c>
      <c r="J448" s="9" t="s">
        <v>49</v>
      </c>
      <c r="K448" s="7">
        <v>6.69</v>
      </c>
      <c r="L448" s="7">
        <v>4.84</v>
      </c>
      <c r="M448" s="8">
        <v>0.27700000000000002</v>
      </c>
      <c r="N448" s="10">
        <v>117006</v>
      </c>
      <c r="O448" s="7">
        <v>971</v>
      </c>
      <c r="P448" s="7">
        <f t="array" ref="P448">K448*O448</f>
        <v>6495.9900000000007</v>
      </c>
      <c r="Q448" s="7">
        <f t="array" ref="Q448">L448*O448</f>
        <v>4699.6399999999994</v>
      </c>
      <c r="R448" s="7">
        <f t="array" ref="R448">N448*K448</f>
        <v>782770.14</v>
      </c>
      <c r="S448" s="7">
        <f t="array" ref="S448">N448*K448*O448</f>
        <v>760069805.94000006</v>
      </c>
    </row>
    <row r="449" spans="1:19" ht="14.25" customHeight="1" x14ac:dyDescent="0.3">
      <c r="A449">
        <v>448</v>
      </c>
      <c r="B449" s="12">
        <v>45566</v>
      </c>
      <c r="C449" s="5">
        <v>2024</v>
      </c>
      <c r="D449" s="5" t="s">
        <v>42</v>
      </c>
      <c r="E449" s="5" t="s">
        <v>68</v>
      </c>
      <c r="F449" s="6" t="s">
        <v>69</v>
      </c>
      <c r="G449" s="6" t="s">
        <v>21</v>
      </c>
      <c r="H449" s="9" t="s">
        <v>28</v>
      </c>
      <c r="I449" s="9" t="s">
        <v>29</v>
      </c>
      <c r="J449" s="9" t="s">
        <v>31</v>
      </c>
      <c r="K449" s="7">
        <v>19.170000000000002</v>
      </c>
      <c r="L449" s="7">
        <v>13.16</v>
      </c>
      <c r="M449" s="8">
        <v>0.314</v>
      </c>
      <c r="N449" s="10">
        <v>108694</v>
      </c>
      <c r="O449" s="7">
        <v>971</v>
      </c>
      <c r="P449" s="7">
        <f t="array" ref="P449">K449*O449</f>
        <v>18614.070000000003</v>
      </c>
      <c r="Q449" s="7">
        <f t="array" ref="Q449">L449*O449</f>
        <v>12778.36</v>
      </c>
      <c r="R449" s="7">
        <f t="array" ref="R449">N449*K449</f>
        <v>2083663.9800000002</v>
      </c>
      <c r="S449" s="7">
        <f t="array" ref="S449">N449*K449*O449</f>
        <v>2023237724.5800002</v>
      </c>
    </row>
    <row r="450" spans="1:19" ht="14.25" customHeight="1" x14ac:dyDescent="0.3">
      <c r="A450">
        <v>449</v>
      </c>
      <c r="B450" s="12">
        <v>45566</v>
      </c>
      <c r="C450" s="5">
        <v>2024</v>
      </c>
      <c r="D450" s="5" t="s">
        <v>25</v>
      </c>
      <c r="E450" s="5" t="s">
        <v>70</v>
      </c>
      <c r="F450" s="6" t="s">
        <v>30</v>
      </c>
      <c r="G450" s="6" t="s">
        <v>21</v>
      </c>
      <c r="H450" s="9" t="s">
        <v>28</v>
      </c>
      <c r="I450" s="9" t="s">
        <v>29</v>
      </c>
      <c r="J450" s="9" t="s">
        <v>49</v>
      </c>
      <c r="K450" s="7">
        <v>7.94</v>
      </c>
      <c r="L450" s="7">
        <v>6.02</v>
      </c>
      <c r="M450" s="8">
        <v>0.24199999999999999</v>
      </c>
      <c r="N450" s="10">
        <v>253653</v>
      </c>
      <c r="O450" s="7">
        <v>971</v>
      </c>
      <c r="P450" s="7">
        <f t="array" ref="P450">K450*O450</f>
        <v>7709.7400000000007</v>
      </c>
      <c r="Q450" s="7">
        <f t="array" ref="Q450">L450*O450</f>
        <v>5845.4199999999992</v>
      </c>
      <c r="R450" s="7">
        <f t="array" ref="R450">N450*K450</f>
        <v>2014004.82</v>
      </c>
      <c r="S450" s="7">
        <f t="array" ref="S450">N450*K450*O450</f>
        <v>1955598680.22</v>
      </c>
    </row>
    <row r="451" spans="1:19" ht="14.25" customHeight="1" x14ac:dyDescent="0.3">
      <c r="A451">
        <v>450</v>
      </c>
      <c r="B451" s="12">
        <v>45566</v>
      </c>
      <c r="C451" s="5">
        <v>2024</v>
      </c>
      <c r="D451" s="5" t="s">
        <v>42</v>
      </c>
      <c r="E451" s="5" t="s">
        <v>68</v>
      </c>
      <c r="F451" s="6" t="s">
        <v>69</v>
      </c>
      <c r="G451" s="6" t="s">
        <v>36</v>
      </c>
      <c r="H451" s="9" t="s">
        <v>23</v>
      </c>
      <c r="I451" s="9" t="s">
        <v>32</v>
      </c>
      <c r="J451" s="9" t="s">
        <v>22</v>
      </c>
      <c r="K451" s="7">
        <v>12.39</v>
      </c>
      <c r="L451" s="7">
        <v>8.99</v>
      </c>
      <c r="M451" s="8">
        <v>0.27400000000000002</v>
      </c>
      <c r="N451" s="10">
        <v>96809</v>
      </c>
      <c r="O451" s="7">
        <v>971</v>
      </c>
      <c r="P451" s="7">
        <f t="array" ref="P451">K451*O451</f>
        <v>12030.69</v>
      </c>
      <c r="Q451" s="7">
        <f t="array" ref="Q451">L451*O451</f>
        <v>8729.2900000000009</v>
      </c>
      <c r="R451" s="7">
        <f t="array" ref="R451">N451*K451</f>
        <v>1199463.51</v>
      </c>
      <c r="S451" s="7">
        <f t="array" ref="S451">N451*K451*O451</f>
        <v>1164679068.21</v>
      </c>
    </row>
    <row r="452" spans="1:19" ht="14.25" customHeight="1" x14ac:dyDescent="0.3">
      <c r="A452">
        <v>451</v>
      </c>
      <c r="B452" s="12">
        <v>45566</v>
      </c>
      <c r="C452" s="5">
        <v>2024</v>
      </c>
      <c r="D452" s="5" t="s">
        <v>50</v>
      </c>
      <c r="E452" s="5" t="s">
        <v>60</v>
      </c>
      <c r="F452" s="6" t="s">
        <v>52</v>
      </c>
      <c r="G452" s="6" t="s">
        <v>36</v>
      </c>
      <c r="H452" s="9" t="s">
        <v>23</v>
      </c>
      <c r="I452" s="9" t="s">
        <v>32</v>
      </c>
      <c r="J452" s="9" t="s">
        <v>22</v>
      </c>
      <c r="K452" s="7">
        <v>13.58</v>
      </c>
      <c r="L452" s="7">
        <v>8.8699999999999992</v>
      </c>
      <c r="M452" s="8">
        <v>0.34699999999999998</v>
      </c>
      <c r="N452" s="10">
        <v>195942</v>
      </c>
      <c r="O452" s="7">
        <v>971</v>
      </c>
      <c r="P452" s="7">
        <f t="array" ref="P452">K452*O452</f>
        <v>13186.18</v>
      </c>
      <c r="Q452" s="7">
        <f t="array" ref="Q452">L452*O452</f>
        <v>8612.7699999999986</v>
      </c>
      <c r="R452" s="7">
        <f t="array" ref="R452">N452*K452</f>
        <v>2660892.36</v>
      </c>
      <c r="S452" s="7">
        <f t="array" ref="S452">N452*K452*O452</f>
        <v>2583726481.5599999</v>
      </c>
    </row>
    <row r="453" spans="1:19" ht="14.25" customHeight="1" x14ac:dyDescent="0.3">
      <c r="A453">
        <v>452</v>
      </c>
      <c r="B453" s="12">
        <v>45566</v>
      </c>
      <c r="C453" s="5">
        <v>2024</v>
      </c>
      <c r="D453" s="5" t="s">
        <v>50</v>
      </c>
      <c r="E453" s="5" t="s">
        <v>51</v>
      </c>
      <c r="F453" s="6" t="s">
        <v>56</v>
      </c>
      <c r="G453" s="6" t="s">
        <v>64</v>
      </c>
      <c r="H453" s="9" t="s">
        <v>23</v>
      </c>
      <c r="I453" s="9" t="s">
        <v>32</v>
      </c>
      <c r="J453" s="9" t="s">
        <v>49</v>
      </c>
      <c r="K453" s="7">
        <v>7.37</v>
      </c>
      <c r="L453" s="7">
        <v>4.46</v>
      </c>
      <c r="M453" s="8">
        <v>0.39500000000000002</v>
      </c>
      <c r="N453" s="10">
        <v>144700</v>
      </c>
      <c r="O453" s="7">
        <v>971</v>
      </c>
      <c r="P453" s="7">
        <f t="array" ref="P453">K453*O453</f>
        <v>7156.27</v>
      </c>
      <c r="Q453" s="7">
        <f t="array" ref="Q453">L453*O453</f>
        <v>4330.66</v>
      </c>
      <c r="R453" s="7">
        <f t="array" ref="R453">N453*K453</f>
        <v>1066439</v>
      </c>
      <c r="S453" s="7">
        <f t="array" ref="S453">N453*K453*O453</f>
        <v>1035512269</v>
      </c>
    </row>
    <row r="454" spans="1:19" ht="14.25" customHeight="1" x14ac:dyDescent="0.3">
      <c r="A454">
        <v>453</v>
      </c>
      <c r="B454" s="12">
        <v>45566</v>
      </c>
      <c r="C454" s="5">
        <v>2024</v>
      </c>
      <c r="D454" s="5" t="s">
        <v>33</v>
      </c>
      <c r="E454" s="5" t="s">
        <v>37</v>
      </c>
      <c r="F454" s="6" t="s">
        <v>20</v>
      </c>
      <c r="G454" s="6" t="s">
        <v>36</v>
      </c>
      <c r="H454" s="9" t="s">
        <v>23</v>
      </c>
      <c r="I454" s="9" t="s">
        <v>29</v>
      </c>
      <c r="J454" s="9" t="s">
        <v>22</v>
      </c>
      <c r="K454" s="7">
        <v>12.53</v>
      </c>
      <c r="L454" s="7">
        <v>7.16</v>
      </c>
      <c r="M454" s="8">
        <v>0.42899999999999999</v>
      </c>
      <c r="N454" s="10">
        <v>67654</v>
      </c>
      <c r="O454" s="7">
        <v>971</v>
      </c>
      <c r="P454" s="7">
        <f t="array" ref="P454">K454*O454</f>
        <v>12166.63</v>
      </c>
      <c r="Q454" s="7">
        <f t="array" ref="Q454">L454*O454</f>
        <v>6952.3600000000006</v>
      </c>
      <c r="R454" s="7">
        <f t="array" ref="R454">N454*K454</f>
        <v>847704.62</v>
      </c>
      <c r="S454" s="7">
        <f t="array" ref="S454">N454*K454*O454</f>
        <v>823121186.01999998</v>
      </c>
    </row>
    <row r="455" spans="1:19" ht="14.25" customHeight="1" x14ac:dyDescent="0.3">
      <c r="A455">
        <v>454</v>
      </c>
      <c r="B455" s="12">
        <v>45566</v>
      </c>
      <c r="C455" s="5">
        <v>2024</v>
      </c>
      <c r="D455" s="5" t="s">
        <v>50</v>
      </c>
      <c r="E455" s="5" t="s">
        <v>60</v>
      </c>
      <c r="F455" s="6" t="s">
        <v>52</v>
      </c>
      <c r="G455" s="6" t="s">
        <v>21</v>
      </c>
      <c r="H455" s="9" t="s">
        <v>23</v>
      </c>
      <c r="I455" s="9" t="s">
        <v>29</v>
      </c>
      <c r="J455" s="9" t="s">
        <v>49</v>
      </c>
      <c r="K455" s="7">
        <v>6.98</v>
      </c>
      <c r="L455" s="7">
        <v>4.93</v>
      </c>
      <c r="M455" s="8">
        <v>0.29399999999999998</v>
      </c>
      <c r="N455" s="10">
        <v>145035</v>
      </c>
      <c r="O455" s="7">
        <v>971</v>
      </c>
      <c r="P455" s="7">
        <f t="array" ref="P455">K455*O455</f>
        <v>6777.5800000000008</v>
      </c>
      <c r="Q455" s="7">
        <f t="array" ref="Q455">L455*O455</f>
        <v>4787.03</v>
      </c>
      <c r="R455" s="7">
        <f t="array" ref="R455">N455*K455</f>
        <v>1012344.3</v>
      </c>
      <c r="S455" s="7">
        <f t="array" ref="S455">N455*K455*O455</f>
        <v>982986315.30000007</v>
      </c>
    </row>
    <row r="456" spans="1:19" ht="14.25" customHeight="1" x14ac:dyDescent="0.3">
      <c r="A456">
        <v>455</v>
      </c>
      <c r="B456" s="12">
        <v>45566</v>
      </c>
      <c r="C456" s="5">
        <v>2024</v>
      </c>
      <c r="D456" s="5" t="s">
        <v>50</v>
      </c>
      <c r="E456" s="5" t="s">
        <v>60</v>
      </c>
      <c r="F456" s="6" t="s">
        <v>52</v>
      </c>
      <c r="G456" s="6" t="s">
        <v>21</v>
      </c>
      <c r="H456" s="9" t="s">
        <v>28</v>
      </c>
      <c r="I456" s="9" t="s">
        <v>32</v>
      </c>
      <c r="J456" s="9" t="s">
        <v>31</v>
      </c>
      <c r="K456" s="7">
        <v>19.309999999999999</v>
      </c>
      <c r="L456" s="7">
        <v>14.58</v>
      </c>
      <c r="M456" s="8">
        <v>0.245</v>
      </c>
      <c r="N456" s="10">
        <v>291059</v>
      </c>
      <c r="O456" s="7">
        <v>971</v>
      </c>
      <c r="P456" s="7">
        <f t="array" ref="P456">K456*O456</f>
        <v>18750.009999999998</v>
      </c>
      <c r="Q456" s="7">
        <f t="array" ref="Q456">L456*O456</f>
        <v>14157.18</v>
      </c>
      <c r="R456" s="7">
        <f t="array" ref="R456">N456*K456</f>
        <v>5620349.29</v>
      </c>
      <c r="S456" s="7">
        <f t="array" ref="S456">N456*K456*O456</f>
        <v>5457359160.5900002</v>
      </c>
    </row>
    <row r="457" spans="1:19" ht="14.25" customHeight="1" x14ac:dyDescent="0.3">
      <c r="A457">
        <v>456</v>
      </c>
      <c r="B457" s="12">
        <v>45566</v>
      </c>
      <c r="C457" s="5">
        <v>2024</v>
      </c>
      <c r="D457" s="5" t="s">
        <v>39</v>
      </c>
      <c r="E457" s="5" t="s">
        <v>40</v>
      </c>
      <c r="F457" s="6" t="s">
        <v>41</v>
      </c>
      <c r="G457" s="6" t="s">
        <v>21</v>
      </c>
      <c r="H457" s="9" t="s">
        <v>23</v>
      </c>
      <c r="I457" s="9" t="s">
        <v>32</v>
      </c>
      <c r="J457" s="9" t="s">
        <v>31</v>
      </c>
      <c r="K457" s="7">
        <v>10.050000000000001</v>
      </c>
      <c r="L457" s="7">
        <v>7.55</v>
      </c>
      <c r="M457" s="8">
        <v>0.249</v>
      </c>
      <c r="N457" s="10">
        <v>292360</v>
      </c>
      <c r="O457" s="7">
        <v>971</v>
      </c>
      <c r="P457" s="7">
        <f t="array" ref="P457">K457*O457</f>
        <v>9758.5500000000011</v>
      </c>
      <c r="Q457" s="7">
        <f t="array" ref="Q457">L457*O457</f>
        <v>7331.05</v>
      </c>
      <c r="R457" s="7">
        <f t="array" ref="R457">N457*K457</f>
        <v>2938218</v>
      </c>
      <c r="S457" s="7">
        <f t="array" ref="S457">N457*K457*O457</f>
        <v>2853009678</v>
      </c>
    </row>
    <row r="458" spans="1:19" ht="14.25" customHeight="1" x14ac:dyDescent="0.3">
      <c r="A458">
        <v>457</v>
      </c>
      <c r="B458" s="12">
        <v>45566</v>
      </c>
      <c r="C458" s="5">
        <v>2024</v>
      </c>
      <c r="D458" s="5" t="s">
        <v>33</v>
      </c>
      <c r="E458" s="5" t="s">
        <v>34</v>
      </c>
      <c r="F458" s="6" t="s">
        <v>35</v>
      </c>
      <c r="G458" s="6" t="s">
        <v>21</v>
      </c>
      <c r="H458" s="9" t="s">
        <v>38</v>
      </c>
      <c r="I458" s="9" t="s">
        <v>32</v>
      </c>
      <c r="J458" s="9" t="s">
        <v>31</v>
      </c>
      <c r="K458" s="7">
        <v>18.75</v>
      </c>
      <c r="L458" s="7">
        <v>13.43</v>
      </c>
      <c r="M458" s="8">
        <v>0.28399999999999997</v>
      </c>
      <c r="N458" s="10">
        <v>234381</v>
      </c>
      <c r="O458" s="7">
        <v>971</v>
      </c>
      <c r="P458" s="7">
        <f t="array" ref="P458">K458*O458</f>
        <v>18206.25</v>
      </c>
      <c r="Q458" s="7">
        <f t="array" ref="Q458">L458*O458</f>
        <v>13040.529999999999</v>
      </c>
      <c r="R458" s="7">
        <f t="array" ref="R458">N458*K458</f>
        <v>4394643.75</v>
      </c>
      <c r="S458" s="7">
        <f t="array" ref="S458">N458*K458*O458</f>
        <v>4267199081.25</v>
      </c>
    </row>
    <row r="459" spans="1:19" ht="14.25" customHeight="1" x14ac:dyDescent="0.3">
      <c r="A459">
        <v>458</v>
      </c>
      <c r="B459" s="12">
        <v>45566</v>
      </c>
      <c r="C459" s="5">
        <v>2024</v>
      </c>
      <c r="D459" s="5" t="s">
        <v>50</v>
      </c>
      <c r="E459" s="5" t="s">
        <v>67</v>
      </c>
      <c r="F459" s="6" t="s">
        <v>56</v>
      </c>
      <c r="G459" s="6" t="s">
        <v>21</v>
      </c>
      <c r="H459" s="9" t="s">
        <v>28</v>
      </c>
      <c r="I459" s="9" t="s">
        <v>29</v>
      </c>
      <c r="J459" s="9" t="s">
        <v>31</v>
      </c>
      <c r="K459" s="7">
        <v>15.12</v>
      </c>
      <c r="L459" s="7">
        <v>9.69</v>
      </c>
      <c r="M459" s="8">
        <v>0.35899999999999999</v>
      </c>
      <c r="N459" s="10">
        <v>201623</v>
      </c>
      <c r="O459" s="7">
        <v>971</v>
      </c>
      <c r="P459" s="7">
        <f t="array" ref="P459">K459*O459</f>
        <v>14681.519999999999</v>
      </c>
      <c r="Q459" s="7">
        <f t="array" ref="Q459">L459*O459</f>
        <v>9408.99</v>
      </c>
      <c r="R459" s="7">
        <f t="array" ref="R459">N459*K459</f>
        <v>3048539.76</v>
      </c>
      <c r="S459" s="7">
        <f t="array" ref="S459">N459*K459*O459</f>
        <v>2960132106.9599996</v>
      </c>
    </row>
    <row r="460" spans="1:19" ht="14.25" customHeight="1" x14ac:dyDescent="0.3">
      <c r="A460">
        <v>459</v>
      </c>
      <c r="B460" s="12">
        <v>45566</v>
      </c>
      <c r="C460" s="5">
        <v>2024</v>
      </c>
      <c r="D460" s="5" t="s">
        <v>33</v>
      </c>
      <c r="E460" s="5" t="s">
        <v>37</v>
      </c>
      <c r="F460" s="6" t="s">
        <v>47</v>
      </c>
      <c r="G460" s="6" t="s">
        <v>21</v>
      </c>
      <c r="H460" s="9" t="s">
        <v>23</v>
      </c>
      <c r="I460" s="9" t="s">
        <v>29</v>
      </c>
      <c r="J460" s="9" t="s">
        <v>31</v>
      </c>
      <c r="K460" s="7">
        <v>6.55</v>
      </c>
      <c r="L460" s="7">
        <v>4.43</v>
      </c>
      <c r="M460" s="8">
        <v>0.32400000000000001</v>
      </c>
      <c r="N460" s="10">
        <v>73980</v>
      </c>
      <c r="O460" s="7">
        <v>971</v>
      </c>
      <c r="P460" s="7">
        <f t="array" ref="P460">K460*O460</f>
        <v>6360.05</v>
      </c>
      <c r="Q460" s="7">
        <f t="array" ref="Q460">L460*O460</f>
        <v>4301.53</v>
      </c>
      <c r="R460" s="7">
        <f t="array" ref="R460">N460*K460</f>
        <v>484569</v>
      </c>
      <c r="S460" s="7">
        <f t="array" ref="S460">N460*K460*O460</f>
        <v>470516499</v>
      </c>
    </row>
    <row r="461" spans="1:19" ht="14.25" customHeight="1" x14ac:dyDescent="0.3">
      <c r="A461">
        <v>460</v>
      </c>
      <c r="B461" s="12">
        <v>45566</v>
      </c>
      <c r="C461" s="5">
        <v>2024</v>
      </c>
      <c r="D461" s="5" t="s">
        <v>25</v>
      </c>
      <c r="E461" s="5" t="s">
        <v>53</v>
      </c>
      <c r="F461" s="6" t="s">
        <v>30</v>
      </c>
      <c r="G461" s="6" t="s">
        <v>21</v>
      </c>
      <c r="H461" s="9" t="s">
        <v>28</v>
      </c>
      <c r="I461" s="9" t="s">
        <v>24</v>
      </c>
      <c r="J461" s="9" t="s">
        <v>49</v>
      </c>
      <c r="K461" s="7">
        <v>5.47</v>
      </c>
      <c r="L461" s="7">
        <v>3.22</v>
      </c>
      <c r="M461" s="8">
        <v>0.41099999999999998</v>
      </c>
      <c r="N461" s="10">
        <v>260584</v>
      </c>
      <c r="O461" s="7">
        <v>971</v>
      </c>
      <c r="P461" s="7">
        <f t="array" ref="P461">K461*O461</f>
        <v>5311.37</v>
      </c>
      <c r="Q461" s="7">
        <f t="array" ref="Q461">L461*O461</f>
        <v>3126.6200000000003</v>
      </c>
      <c r="R461" s="7">
        <f t="array" ref="R461">N461*K461</f>
        <v>1425394.48</v>
      </c>
      <c r="S461" s="7">
        <f t="array" ref="S461">N461*K461*O461</f>
        <v>1384058040.0799999</v>
      </c>
    </row>
    <row r="462" spans="1:19" ht="14.25" customHeight="1" x14ac:dyDescent="0.3">
      <c r="A462">
        <v>461</v>
      </c>
      <c r="B462" s="12">
        <v>45597</v>
      </c>
      <c r="C462" s="5">
        <v>2024</v>
      </c>
      <c r="D462" s="5" t="s">
        <v>25</v>
      </c>
      <c r="E462" s="5" t="s">
        <v>53</v>
      </c>
      <c r="F462" s="6" t="s">
        <v>30</v>
      </c>
      <c r="G462" s="6" t="s">
        <v>21</v>
      </c>
      <c r="H462" s="9" t="s">
        <v>23</v>
      </c>
      <c r="I462" s="9" t="s">
        <v>29</v>
      </c>
      <c r="J462" s="9" t="s">
        <v>22</v>
      </c>
      <c r="K462" s="7">
        <v>18.91</v>
      </c>
      <c r="L462" s="7">
        <v>12.68</v>
      </c>
      <c r="M462" s="8">
        <v>0.32900000000000001</v>
      </c>
      <c r="N462" s="10">
        <v>106432</v>
      </c>
      <c r="O462" s="7">
        <v>993</v>
      </c>
      <c r="P462" s="7">
        <f t="array" ref="P462">K462*O462</f>
        <v>18777.63</v>
      </c>
      <c r="Q462" s="7">
        <f t="array" ref="Q462">L462*O462</f>
        <v>12591.24</v>
      </c>
      <c r="R462" s="7">
        <f t="array" ref="R462">N462*K462</f>
        <v>2012629.12</v>
      </c>
      <c r="S462" s="7">
        <f t="array" ref="S462">N462*K462*O462</f>
        <v>1998540716.1600001</v>
      </c>
    </row>
    <row r="463" spans="1:19" ht="14.25" customHeight="1" x14ac:dyDescent="0.3">
      <c r="A463">
        <v>462</v>
      </c>
      <c r="B463" s="12">
        <v>45597</v>
      </c>
      <c r="C463" s="5">
        <v>2024</v>
      </c>
      <c r="D463" s="5" t="s">
        <v>50</v>
      </c>
      <c r="E463" s="5" t="s">
        <v>67</v>
      </c>
      <c r="F463" s="6" t="s">
        <v>56</v>
      </c>
      <c r="G463" s="6" t="s">
        <v>21</v>
      </c>
      <c r="H463" s="9" t="s">
        <v>38</v>
      </c>
      <c r="I463" s="9" t="s">
        <v>46</v>
      </c>
      <c r="J463" s="9" t="s">
        <v>31</v>
      </c>
      <c r="K463" s="7">
        <v>5.48</v>
      </c>
      <c r="L463" s="7">
        <v>2.99</v>
      </c>
      <c r="M463" s="8">
        <v>0.45400000000000001</v>
      </c>
      <c r="N463" s="10">
        <v>112226</v>
      </c>
      <c r="O463" s="7">
        <v>993</v>
      </c>
      <c r="P463" s="7">
        <f t="array" ref="P463">K463*O463</f>
        <v>5441.64</v>
      </c>
      <c r="Q463" s="7">
        <f t="array" ref="Q463">L463*O463</f>
        <v>2969.07</v>
      </c>
      <c r="R463" s="7">
        <f t="array" ref="R463">N463*K463</f>
        <v>614998.4800000001</v>
      </c>
      <c r="S463" s="7">
        <f t="array" ref="S463">N463*K463*O463</f>
        <v>610693490.6400001</v>
      </c>
    </row>
    <row r="464" spans="1:19" ht="14.25" customHeight="1" x14ac:dyDescent="0.3">
      <c r="A464">
        <v>463</v>
      </c>
      <c r="B464" s="12">
        <v>45597</v>
      </c>
      <c r="C464" s="5">
        <v>2024</v>
      </c>
      <c r="D464" s="5" t="s">
        <v>18</v>
      </c>
      <c r="E464" s="5" t="s">
        <v>61</v>
      </c>
      <c r="F464" s="6" t="s">
        <v>54</v>
      </c>
      <c r="G464" s="6" t="s">
        <v>36</v>
      </c>
      <c r="H464" s="9" t="s">
        <v>23</v>
      </c>
      <c r="I464" s="9" t="s">
        <v>29</v>
      </c>
      <c r="J464" s="9" t="s">
        <v>22</v>
      </c>
      <c r="K464" s="7">
        <v>13.53</v>
      </c>
      <c r="L464" s="7">
        <v>9.73</v>
      </c>
      <c r="M464" s="8">
        <v>0.28100000000000003</v>
      </c>
      <c r="N464" s="10">
        <v>163293</v>
      </c>
      <c r="O464" s="7">
        <v>993</v>
      </c>
      <c r="P464" s="7">
        <f t="array" ref="P464">K464*O464</f>
        <v>13435.289999999999</v>
      </c>
      <c r="Q464" s="7">
        <f t="array" ref="Q464">L464*O464</f>
        <v>9661.8900000000012</v>
      </c>
      <c r="R464" s="7">
        <f t="array" ref="R464">N464*K464</f>
        <v>2209354.29</v>
      </c>
      <c r="S464" s="7">
        <f t="array" ref="S464">N464*K464*O464</f>
        <v>2193888809.9700003</v>
      </c>
    </row>
    <row r="465" spans="1:19" ht="14.25" customHeight="1" x14ac:dyDescent="0.3">
      <c r="A465">
        <v>464</v>
      </c>
      <c r="B465" s="12">
        <v>45597</v>
      </c>
      <c r="C465" s="5">
        <v>2024</v>
      </c>
      <c r="D465" s="5" t="s">
        <v>18</v>
      </c>
      <c r="E465" s="5" t="s">
        <v>19</v>
      </c>
      <c r="F465" s="6" t="s">
        <v>55</v>
      </c>
      <c r="G465" s="6" t="s">
        <v>64</v>
      </c>
      <c r="H465" s="9" t="s">
        <v>23</v>
      </c>
      <c r="I465" s="9" t="s">
        <v>29</v>
      </c>
      <c r="J465" s="9" t="s">
        <v>49</v>
      </c>
      <c r="K465" s="7">
        <v>5.72</v>
      </c>
      <c r="L465" s="7">
        <v>3.57</v>
      </c>
      <c r="M465" s="8">
        <v>0.376</v>
      </c>
      <c r="N465" s="10">
        <v>65422</v>
      </c>
      <c r="O465" s="7">
        <v>993</v>
      </c>
      <c r="P465" s="7">
        <f t="array" ref="P465">K465*O465</f>
        <v>5679.96</v>
      </c>
      <c r="Q465" s="7">
        <f t="array" ref="Q465">L465*O465</f>
        <v>3545.0099999999998</v>
      </c>
      <c r="R465" s="7">
        <f t="array" ref="R465">N465*K465</f>
        <v>374213.83999999997</v>
      </c>
      <c r="S465" s="7">
        <f t="array" ref="S465">N465*K465*O465</f>
        <v>371594343.11999995</v>
      </c>
    </row>
    <row r="466" spans="1:19" ht="14.25" customHeight="1" x14ac:dyDescent="0.3">
      <c r="A466">
        <v>465</v>
      </c>
      <c r="B466" s="12">
        <v>45597</v>
      </c>
      <c r="C466" s="5">
        <v>2024</v>
      </c>
      <c r="D466" s="5" t="s">
        <v>39</v>
      </c>
      <c r="E466" s="5" t="s">
        <v>58</v>
      </c>
      <c r="F466" s="6" t="s">
        <v>20</v>
      </c>
      <c r="G466" s="6" t="s">
        <v>36</v>
      </c>
      <c r="H466" s="9" t="s">
        <v>28</v>
      </c>
      <c r="I466" s="9" t="s">
        <v>32</v>
      </c>
      <c r="J466" s="9" t="s">
        <v>31</v>
      </c>
      <c r="K466" s="7">
        <v>18.399999999999999</v>
      </c>
      <c r="L466" s="7">
        <v>10.19</v>
      </c>
      <c r="M466" s="8">
        <v>0.44600000000000001</v>
      </c>
      <c r="N466" s="10">
        <v>299416</v>
      </c>
      <c r="O466" s="7">
        <v>993</v>
      </c>
      <c r="P466" s="7">
        <f t="array" ref="P466">K466*O466</f>
        <v>18271.199999999997</v>
      </c>
      <c r="Q466" s="7">
        <f t="array" ref="Q466">L466*O466</f>
        <v>10118.67</v>
      </c>
      <c r="R466" s="7">
        <f t="array" ref="R466">N466*K466</f>
        <v>5509254.3999999994</v>
      </c>
      <c r="S466" s="7">
        <f t="array" ref="S466">N466*K466*O466</f>
        <v>5470689619.1999998</v>
      </c>
    </row>
    <row r="467" spans="1:19" ht="14.25" customHeight="1" x14ac:dyDescent="0.3">
      <c r="A467">
        <v>466</v>
      </c>
      <c r="B467" s="12">
        <v>45597</v>
      </c>
      <c r="C467" s="5">
        <v>2024</v>
      </c>
      <c r="D467" s="5" t="s">
        <v>25</v>
      </c>
      <c r="E467" s="5" t="s">
        <v>70</v>
      </c>
      <c r="F467" s="6" t="s">
        <v>63</v>
      </c>
      <c r="G467" s="6" t="s">
        <v>21</v>
      </c>
      <c r="H467" s="9" t="s">
        <v>23</v>
      </c>
      <c r="I467" s="9" t="s">
        <v>24</v>
      </c>
      <c r="J467" s="9" t="s">
        <v>49</v>
      </c>
      <c r="K467" s="7">
        <v>12.91</v>
      </c>
      <c r="L467" s="7">
        <v>9.32</v>
      </c>
      <c r="M467" s="8">
        <v>0.27800000000000002</v>
      </c>
      <c r="N467" s="10">
        <v>296267</v>
      </c>
      <c r="O467" s="7">
        <v>993</v>
      </c>
      <c r="P467" s="7">
        <f t="array" ref="P467">K467*O467</f>
        <v>12819.630000000001</v>
      </c>
      <c r="Q467" s="7">
        <f t="array" ref="Q467">L467*O467</f>
        <v>9254.76</v>
      </c>
      <c r="R467" s="7">
        <f t="array" ref="R467">N467*K467</f>
        <v>3824806.97</v>
      </c>
      <c r="S467" s="7">
        <f t="array" ref="S467">N467*K467*O467</f>
        <v>3798033321.21</v>
      </c>
    </row>
    <row r="468" spans="1:19" ht="14.25" customHeight="1" x14ac:dyDescent="0.3">
      <c r="A468">
        <v>467</v>
      </c>
      <c r="B468" s="12">
        <v>45597</v>
      </c>
      <c r="C468" s="5">
        <v>2024</v>
      </c>
      <c r="D468" s="5" t="s">
        <v>50</v>
      </c>
      <c r="E468" s="5" t="s">
        <v>60</v>
      </c>
      <c r="F468" s="6" t="s">
        <v>56</v>
      </c>
      <c r="G468" s="6" t="s">
        <v>64</v>
      </c>
      <c r="H468" s="9" t="s">
        <v>23</v>
      </c>
      <c r="I468" s="9" t="s">
        <v>29</v>
      </c>
      <c r="J468" s="9" t="s">
        <v>22</v>
      </c>
      <c r="K468" s="7">
        <v>9.67</v>
      </c>
      <c r="L468" s="7">
        <v>6.23</v>
      </c>
      <c r="M468" s="8">
        <v>0.35599999999999998</v>
      </c>
      <c r="N468" s="10">
        <v>59726</v>
      </c>
      <c r="O468" s="7">
        <v>993</v>
      </c>
      <c r="P468" s="7">
        <f t="array" ref="P468">K468*O468</f>
        <v>9602.31</v>
      </c>
      <c r="Q468" s="7">
        <f t="array" ref="Q468">L468*O468</f>
        <v>6186.39</v>
      </c>
      <c r="R468" s="7">
        <f t="array" ref="R468">N468*K468</f>
        <v>577550.42000000004</v>
      </c>
      <c r="S468" s="7">
        <f t="array" ref="S468">N468*K468*O468</f>
        <v>573507567.06000006</v>
      </c>
    </row>
    <row r="469" spans="1:19" ht="14.25" customHeight="1" x14ac:dyDescent="0.3">
      <c r="A469">
        <v>468</v>
      </c>
      <c r="B469" s="12">
        <v>45597</v>
      </c>
      <c r="C469" s="5">
        <v>2024</v>
      </c>
      <c r="D469" s="5" t="s">
        <v>39</v>
      </c>
      <c r="E469" s="5" t="s">
        <v>40</v>
      </c>
      <c r="F469" s="6" t="s">
        <v>48</v>
      </c>
      <c r="G469" s="6" t="s">
        <v>21</v>
      </c>
      <c r="H469" s="9" t="s">
        <v>23</v>
      </c>
      <c r="I469" s="9" t="s">
        <v>32</v>
      </c>
      <c r="J469" s="9" t="s">
        <v>49</v>
      </c>
      <c r="K469" s="7">
        <v>15.97</v>
      </c>
      <c r="L469" s="7">
        <v>10.49</v>
      </c>
      <c r="M469" s="8">
        <v>0.34300000000000003</v>
      </c>
      <c r="N469" s="10">
        <v>104213</v>
      </c>
      <c r="O469" s="7">
        <v>993</v>
      </c>
      <c r="P469" s="7">
        <f t="array" ref="P469">K469*O469</f>
        <v>15858.210000000001</v>
      </c>
      <c r="Q469" s="7">
        <f t="array" ref="Q469">L469*O469</f>
        <v>10416.57</v>
      </c>
      <c r="R469" s="7">
        <f t="array" ref="R469">N469*K469</f>
        <v>1664281.61</v>
      </c>
      <c r="S469" s="7">
        <f t="array" ref="S469">N469*K469*O469</f>
        <v>1652631638.73</v>
      </c>
    </row>
    <row r="470" spans="1:19" ht="14.25" customHeight="1" x14ac:dyDescent="0.3">
      <c r="A470">
        <v>469</v>
      </c>
      <c r="B470" s="12">
        <v>45597</v>
      </c>
      <c r="C470" s="5">
        <v>2024</v>
      </c>
      <c r="D470" s="5" t="s">
        <v>33</v>
      </c>
      <c r="E470" s="5" t="s">
        <v>34</v>
      </c>
      <c r="F470" s="6" t="s">
        <v>20</v>
      </c>
      <c r="G470" s="6" t="s">
        <v>36</v>
      </c>
      <c r="H470" s="9" t="s">
        <v>23</v>
      </c>
      <c r="I470" s="9" t="s">
        <v>46</v>
      </c>
      <c r="J470" s="9" t="s">
        <v>49</v>
      </c>
      <c r="K470" s="7">
        <v>9.57</v>
      </c>
      <c r="L470" s="7">
        <v>5.44</v>
      </c>
      <c r="M470" s="8">
        <v>0.432</v>
      </c>
      <c r="N470" s="10">
        <v>102225</v>
      </c>
      <c r="O470" s="7">
        <v>993</v>
      </c>
      <c r="P470" s="7">
        <f t="array" ref="P470">K470*O470</f>
        <v>9503.01</v>
      </c>
      <c r="Q470" s="7">
        <f t="array" ref="Q470">L470*O470</f>
        <v>5401.92</v>
      </c>
      <c r="R470" s="7">
        <f t="array" ref="R470">N470*K470</f>
        <v>978293.25</v>
      </c>
      <c r="S470" s="7">
        <f t="array" ref="S470">N470*K470*O470</f>
        <v>971445197.25</v>
      </c>
    </row>
    <row r="471" spans="1:19" ht="14.25" customHeight="1" x14ac:dyDescent="0.3">
      <c r="A471">
        <v>470</v>
      </c>
      <c r="B471" s="12">
        <v>45597</v>
      </c>
      <c r="C471" s="5">
        <v>2024</v>
      </c>
      <c r="D471" s="5" t="s">
        <v>42</v>
      </c>
      <c r="E471" s="5" t="s">
        <v>68</v>
      </c>
      <c r="F471" s="6" t="s">
        <v>44</v>
      </c>
      <c r="G471" s="6" t="s">
        <v>21</v>
      </c>
      <c r="H471" s="9" t="s">
        <v>28</v>
      </c>
      <c r="I471" s="9" t="s">
        <v>24</v>
      </c>
      <c r="J471" s="9" t="s">
        <v>31</v>
      </c>
      <c r="K471" s="7">
        <v>15.95</v>
      </c>
      <c r="L471" s="7">
        <v>9.43</v>
      </c>
      <c r="M471" s="8">
        <v>0.40899999999999997</v>
      </c>
      <c r="N471" s="10">
        <v>85400</v>
      </c>
      <c r="O471" s="7">
        <v>993</v>
      </c>
      <c r="P471" s="7">
        <f t="array" ref="P471">K471*O471</f>
        <v>15838.349999999999</v>
      </c>
      <c r="Q471" s="7">
        <f t="array" ref="Q471">L471*O471</f>
        <v>9363.99</v>
      </c>
      <c r="R471" s="7">
        <f t="array" ref="R471">N471*K471</f>
        <v>1362130</v>
      </c>
      <c r="S471" s="7">
        <f t="array" ref="S471">N471*K471*O471</f>
        <v>1352595090</v>
      </c>
    </row>
    <row r="472" spans="1:19" ht="14.25" customHeight="1" x14ac:dyDescent="0.3">
      <c r="A472">
        <v>471</v>
      </c>
      <c r="B472" s="12">
        <v>45597</v>
      </c>
      <c r="C472" s="5">
        <v>2024</v>
      </c>
      <c r="D472" s="5" t="s">
        <v>33</v>
      </c>
      <c r="E472" s="5" t="s">
        <v>57</v>
      </c>
      <c r="F472" s="6" t="s">
        <v>47</v>
      </c>
      <c r="G472" s="6" t="s">
        <v>21</v>
      </c>
      <c r="H472" s="9" t="s">
        <v>38</v>
      </c>
      <c r="I472" s="9" t="s">
        <v>24</v>
      </c>
      <c r="J472" s="9" t="s">
        <v>22</v>
      </c>
      <c r="K472" s="7">
        <v>6.75</v>
      </c>
      <c r="L472" s="7">
        <v>5.04</v>
      </c>
      <c r="M472" s="8">
        <v>0.253</v>
      </c>
      <c r="N472" s="10">
        <v>124665</v>
      </c>
      <c r="O472" s="7">
        <v>993</v>
      </c>
      <c r="P472" s="7">
        <f t="array" ref="P472">K472*O472</f>
        <v>6702.75</v>
      </c>
      <c r="Q472" s="7">
        <f t="array" ref="Q472">L472*O472</f>
        <v>5004.72</v>
      </c>
      <c r="R472" s="7">
        <f t="array" ref="R472">N472*K472</f>
        <v>841488.75</v>
      </c>
      <c r="S472" s="7">
        <f t="array" ref="S472">N472*K472*O472</f>
        <v>835598328.75</v>
      </c>
    </row>
    <row r="473" spans="1:19" ht="14.25" customHeight="1" x14ac:dyDescent="0.3">
      <c r="A473">
        <v>472</v>
      </c>
      <c r="B473" s="12">
        <v>45597</v>
      </c>
      <c r="C473" s="5">
        <v>2024</v>
      </c>
      <c r="D473" s="5" t="s">
        <v>25</v>
      </c>
      <c r="E473" s="5" t="s">
        <v>70</v>
      </c>
      <c r="F473" s="6" t="s">
        <v>27</v>
      </c>
      <c r="G473" s="6" t="s">
        <v>21</v>
      </c>
      <c r="H473" s="9" t="s">
        <v>23</v>
      </c>
      <c r="I473" s="9" t="s">
        <v>32</v>
      </c>
      <c r="J473" s="9" t="s">
        <v>31</v>
      </c>
      <c r="K473" s="7">
        <v>12.36</v>
      </c>
      <c r="L473" s="7">
        <v>8.86</v>
      </c>
      <c r="M473" s="8">
        <v>0.28299999999999997</v>
      </c>
      <c r="N473" s="10">
        <v>259672</v>
      </c>
      <c r="O473" s="7">
        <v>993</v>
      </c>
      <c r="P473" s="7">
        <f t="array" ref="P473">K473*O473</f>
        <v>12273.48</v>
      </c>
      <c r="Q473" s="7">
        <f t="array" ref="Q473">L473*O473</f>
        <v>8797.98</v>
      </c>
      <c r="R473" s="7">
        <f t="array" ref="R473">N473*K473</f>
        <v>3209545.92</v>
      </c>
      <c r="S473" s="7">
        <f t="array" ref="S473">N473*K473*O473</f>
        <v>3187079098.5599999</v>
      </c>
    </row>
    <row r="474" spans="1:19" ht="14.25" customHeight="1" x14ac:dyDescent="0.3">
      <c r="A474">
        <v>473</v>
      </c>
      <c r="B474" s="12">
        <v>45597</v>
      </c>
      <c r="C474" s="5">
        <v>2024</v>
      </c>
      <c r="D474" s="5" t="s">
        <v>33</v>
      </c>
      <c r="E474" s="5" t="s">
        <v>57</v>
      </c>
      <c r="F474" s="6" t="s">
        <v>35</v>
      </c>
      <c r="G474" s="6" t="s">
        <v>21</v>
      </c>
      <c r="H474" s="9" t="s">
        <v>23</v>
      </c>
      <c r="I474" s="9" t="s">
        <v>32</v>
      </c>
      <c r="J474" s="9" t="s">
        <v>22</v>
      </c>
      <c r="K474" s="7">
        <v>15.08</v>
      </c>
      <c r="L474" s="7">
        <v>8.39</v>
      </c>
      <c r="M474" s="8">
        <v>0.44400000000000001</v>
      </c>
      <c r="N474" s="10">
        <v>137223</v>
      </c>
      <c r="O474" s="7">
        <v>993</v>
      </c>
      <c r="P474" s="7">
        <f t="array" ref="P474">K474*O474</f>
        <v>14974.44</v>
      </c>
      <c r="Q474" s="7">
        <f t="array" ref="Q474">L474*O474</f>
        <v>8331.27</v>
      </c>
      <c r="R474" s="7">
        <f t="array" ref="R474">N474*K474</f>
        <v>2069322.84</v>
      </c>
      <c r="S474" s="7">
        <f t="array" ref="S474">N474*K474*O474</f>
        <v>2054837580.1200001</v>
      </c>
    </row>
    <row r="475" spans="1:19" ht="14.25" customHeight="1" x14ac:dyDescent="0.3">
      <c r="A475">
        <v>474</v>
      </c>
      <c r="B475" s="12">
        <v>45597</v>
      </c>
      <c r="C475" s="5">
        <v>2024</v>
      </c>
      <c r="D475" s="5" t="s">
        <v>18</v>
      </c>
      <c r="E475" s="5" t="s">
        <v>19</v>
      </c>
      <c r="F475" s="6" t="s">
        <v>20</v>
      </c>
      <c r="G475" s="6" t="s">
        <v>21</v>
      </c>
      <c r="H475" s="9" t="s">
        <v>23</v>
      </c>
      <c r="I475" s="9" t="s">
        <v>46</v>
      </c>
      <c r="J475" s="9" t="s">
        <v>31</v>
      </c>
      <c r="K475" s="7">
        <v>12.92</v>
      </c>
      <c r="L475" s="7">
        <v>8.49</v>
      </c>
      <c r="M475" s="8">
        <v>0.34300000000000003</v>
      </c>
      <c r="N475" s="10">
        <v>188125</v>
      </c>
      <c r="O475" s="7">
        <v>993</v>
      </c>
      <c r="P475" s="7">
        <f t="array" ref="P475">K475*O475</f>
        <v>12829.56</v>
      </c>
      <c r="Q475" s="7">
        <f t="array" ref="Q475">L475*O475</f>
        <v>8430.57</v>
      </c>
      <c r="R475" s="7">
        <f t="array" ref="R475">N475*K475</f>
        <v>2430575</v>
      </c>
      <c r="S475" s="7">
        <f t="array" ref="S475">N475*K475*O475</f>
        <v>2413560975</v>
      </c>
    </row>
    <row r="476" spans="1:19" ht="14.25" customHeight="1" x14ac:dyDescent="0.3">
      <c r="A476">
        <v>475</v>
      </c>
      <c r="B476" s="12">
        <v>45597</v>
      </c>
      <c r="C476" s="5">
        <v>2024</v>
      </c>
      <c r="D476" s="5" t="s">
        <v>39</v>
      </c>
      <c r="E476" s="5" t="s">
        <v>40</v>
      </c>
      <c r="F476" s="6" t="s">
        <v>48</v>
      </c>
      <c r="G476" s="6" t="s">
        <v>64</v>
      </c>
      <c r="H476" s="9" t="s">
        <v>28</v>
      </c>
      <c r="I476" s="9" t="s">
        <v>32</v>
      </c>
      <c r="J476" s="9" t="s">
        <v>31</v>
      </c>
      <c r="K476" s="7">
        <v>17.649999999999999</v>
      </c>
      <c r="L476" s="7">
        <v>10.59</v>
      </c>
      <c r="M476" s="8">
        <v>0.4</v>
      </c>
      <c r="N476" s="10">
        <v>233035</v>
      </c>
      <c r="O476" s="7">
        <v>993</v>
      </c>
      <c r="P476" s="7">
        <f t="array" ref="P476">K476*O476</f>
        <v>17526.449999999997</v>
      </c>
      <c r="Q476" s="7">
        <f t="array" ref="Q476">L476*O476</f>
        <v>10515.869999999999</v>
      </c>
      <c r="R476" s="7">
        <f t="array" ref="R476">N476*K476</f>
        <v>4113067.7499999995</v>
      </c>
      <c r="S476" s="7">
        <f t="array" ref="S476">N476*K476*O476</f>
        <v>4084276275.7499995</v>
      </c>
    </row>
    <row r="477" spans="1:19" ht="14.25" customHeight="1" x14ac:dyDescent="0.3">
      <c r="A477">
        <v>476</v>
      </c>
      <c r="B477" s="12">
        <v>45597</v>
      </c>
      <c r="C477" s="5">
        <v>2024</v>
      </c>
      <c r="D477" s="5" t="s">
        <v>18</v>
      </c>
      <c r="E477" s="5" t="s">
        <v>59</v>
      </c>
      <c r="F477" s="6" t="s">
        <v>54</v>
      </c>
      <c r="G477" s="6" t="s">
        <v>21</v>
      </c>
      <c r="H477" s="9" t="s">
        <v>28</v>
      </c>
      <c r="I477" s="9" t="s">
        <v>32</v>
      </c>
      <c r="J477" s="9" t="s">
        <v>31</v>
      </c>
      <c r="K477" s="7">
        <v>10.130000000000001</v>
      </c>
      <c r="L477" s="7">
        <v>6.93</v>
      </c>
      <c r="M477" s="8">
        <v>0.316</v>
      </c>
      <c r="N477" s="10">
        <v>254786</v>
      </c>
      <c r="O477" s="7">
        <v>993</v>
      </c>
      <c r="P477" s="7">
        <f t="array" ref="P477">K477*O477</f>
        <v>10059.09</v>
      </c>
      <c r="Q477" s="7">
        <f t="array" ref="Q477">L477*O477</f>
        <v>6881.49</v>
      </c>
      <c r="R477" s="7">
        <f t="array" ref="R477">N477*K477</f>
        <v>2580982.1800000002</v>
      </c>
      <c r="S477" s="7">
        <f t="array" ref="S477">N477*K477*O477</f>
        <v>2562915304.7400002</v>
      </c>
    </row>
    <row r="478" spans="1:19" ht="14.25" customHeight="1" x14ac:dyDescent="0.3">
      <c r="A478">
        <v>477</v>
      </c>
      <c r="B478" s="12">
        <v>45597</v>
      </c>
      <c r="C478" s="5">
        <v>2024</v>
      </c>
      <c r="D478" s="5" t="s">
        <v>25</v>
      </c>
      <c r="E478" s="5" t="s">
        <v>53</v>
      </c>
      <c r="F478" s="6" t="s">
        <v>63</v>
      </c>
      <c r="G478" s="6" t="s">
        <v>21</v>
      </c>
      <c r="H478" s="9" t="s">
        <v>28</v>
      </c>
      <c r="I478" s="9" t="s">
        <v>24</v>
      </c>
      <c r="J478" s="9" t="s">
        <v>22</v>
      </c>
      <c r="K478" s="7">
        <v>17.100000000000001</v>
      </c>
      <c r="L478" s="7">
        <v>11.61</v>
      </c>
      <c r="M478" s="8">
        <v>0.32100000000000001</v>
      </c>
      <c r="N478" s="10">
        <v>84238</v>
      </c>
      <c r="O478" s="7">
        <v>993</v>
      </c>
      <c r="P478" s="7">
        <f t="array" ref="P478">K478*O478</f>
        <v>16980.300000000003</v>
      </c>
      <c r="Q478" s="7">
        <f t="array" ref="Q478">L478*O478</f>
        <v>11528.73</v>
      </c>
      <c r="R478" s="7">
        <f t="array" ref="R478">N478*K478</f>
        <v>1440469.8</v>
      </c>
      <c r="S478" s="7">
        <f t="array" ref="S478">N478*K478*O478</f>
        <v>1430386511.4000001</v>
      </c>
    </row>
    <row r="479" spans="1:19" ht="14.25" customHeight="1" x14ac:dyDescent="0.3">
      <c r="A479">
        <v>478</v>
      </c>
      <c r="B479" s="12">
        <v>45597</v>
      </c>
      <c r="C479" s="5">
        <v>2024</v>
      </c>
      <c r="D479" s="5" t="s">
        <v>50</v>
      </c>
      <c r="E479" s="5" t="s">
        <v>51</v>
      </c>
      <c r="F479" s="6" t="s">
        <v>52</v>
      </c>
      <c r="G479" s="6" t="s">
        <v>21</v>
      </c>
      <c r="H479" s="9" t="s">
        <v>28</v>
      </c>
      <c r="I479" s="9" t="s">
        <v>24</v>
      </c>
      <c r="J479" s="9" t="s">
        <v>31</v>
      </c>
      <c r="K479" s="7">
        <v>15.38</v>
      </c>
      <c r="L479" s="7">
        <v>11.12</v>
      </c>
      <c r="M479" s="8">
        <v>0.27700000000000002</v>
      </c>
      <c r="N479" s="10">
        <v>213971</v>
      </c>
      <c r="O479" s="7">
        <v>993</v>
      </c>
      <c r="P479" s="7">
        <f t="array" ref="P479">K479*O479</f>
        <v>15272.34</v>
      </c>
      <c r="Q479" s="7">
        <f t="array" ref="Q479">L479*O479</f>
        <v>11042.16</v>
      </c>
      <c r="R479" s="7">
        <f t="array" ref="R479">N479*K479</f>
        <v>3290873.98</v>
      </c>
      <c r="S479" s="7">
        <f t="array" ref="S479">N479*K479*O479</f>
        <v>3267837862.1399999</v>
      </c>
    </row>
    <row r="480" spans="1:19" ht="14.25" customHeight="1" x14ac:dyDescent="0.3">
      <c r="A480">
        <v>479</v>
      </c>
      <c r="B480" s="12">
        <v>45597</v>
      </c>
      <c r="C480" s="5">
        <v>2024</v>
      </c>
      <c r="D480" s="5" t="s">
        <v>50</v>
      </c>
      <c r="E480" s="5" t="s">
        <v>60</v>
      </c>
      <c r="F480" s="6" t="s">
        <v>62</v>
      </c>
      <c r="G480" s="6" t="s">
        <v>36</v>
      </c>
      <c r="H480" s="9" t="s">
        <v>23</v>
      </c>
      <c r="I480" s="9" t="s">
        <v>32</v>
      </c>
      <c r="J480" s="9" t="s">
        <v>49</v>
      </c>
      <c r="K480" s="7">
        <v>17.13</v>
      </c>
      <c r="L480" s="7">
        <v>11.35</v>
      </c>
      <c r="M480" s="8">
        <v>0.33700000000000002</v>
      </c>
      <c r="N480" s="10">
        <v>79557</v>
      </c>
      <c r="O480" s="7">
        <v>993</v>
      </c>
      <c r="P480" s="7">
        <f t="array" ref="P480">K480*O480</f>
        <v>17010.09</v>
      </c>
      <c r="Q480" s="7">
        <f t="array" ref="Q480">L480*O480</f>
        <v>11270.55</v>
      </c>
      <c r="R480" s="7">
        <f t="array" ref="R480">N480*K480</f>
        <v>1362811.41</v>
      </c>
      <c r="S480" s="7">
        <f t="array" ref="S480">N480*K480*O480</f>
        <v>1353271730.1299999</v>
      </c>
    </row>
    <row r="481" spans="1:19" ht="14.25" customHeight="1" x14ac:dyDescent="0.3">
      <c r="A481">
        <v>480</v>
      </c>
      <c r="B481" s="12">
        <v>45597</v>
      </c>
      <c r="C481" s="5">
        <v>2024</v>
      </c>
      <c r="D481" s="5" t="s">
        <v>42</v>
      </c>
      <c r="E481" s="5" t="s">
        <v>66</v>
      </c>
      <c r="F481" s="6" t="s">
        <v>69</v>
      </c>
      <c r="G481" s="6" t="s">
        <v>21</v>
      </c>
      <c r="H481" s="9" t="s">
        <v>28</v>
      </c>
      <c r="I481" s="9" t="s">
        <v>32</v>
      </c>
      <c r="J481" s="9" t="s">
        <v>31</v>
      </c>
      <c r="K481" s="7">
        <v>15.21</v>
      </c>
      <c r="L481" s="7">
        <v>8.2899999999999991</v>
      </c>
      <c r="M481" s="8">
        <v>0.45500000000000002</v>
      </c>
      <c r="N481" s="10">
        <v>297001</v>
      </c>
      <c r="O481" s="7">
        <v>993</v>
      </c>
      <c r="P481" s="7">
        <f t="array" ref="P481">K481*O481</f>
        <v>15103.53</v>
      </c>
      <c r="Q481" s="7">
        <f t="array" ref="Q481">L481*O481</f>
        <v>8231.9699999999993</v>
      </c>
      <c r="R481" s="7">
        <f t="array" ref="R481">N481*K481</f>
        <v>4517385.21</v>
      </c>
      <c r="S481" s="7">
        <f t="array" ref="S481">N481*K481*O481</f>
        <v>4485763513.5299997</v>
      </c>
    </row>
    <row r="482" spans="1:19" ht="14.25" customHeight="1" x14ac:dyDescent="0.3">
      <c r="A482">
        <v>481</v>
      </c>
      <c r="B482" s="12">
        <v>45627</v>
      </c>
      <c r="C482" s="5">
        <v>2024</v>
      </c>
      <c r="D482" s="5" t="s">
        <v>18</v>
      </c>
      <c r="E482" s="5" t="s">
        <v>19</v>
      </c>
      <c r="F482" s="6" t="s">
        <v>20</v>
      </c>
      <c r="G482" s="6" t="s">
        <v>36</v>
      </c>
      <c r="H482" s="9" t="s">
        <v>23</v>
      </c>
      <c r="I482" s="9" t="s">
        <v>29</v>
      </c>
      <c r="J482" s="9" t="s">
        <v>49</v>
      </c>
      <c r="K482" s="7">
        <v>9.56</v>
      </c>
      <c r="L482" s="7">
        <v>7.59</v>
      </c>
      <c r="M482" s="8">
        <v>0.20599999999999999</v>
      </c>
      <c r="N482" s="10">
        <v>251027</v>
      </c>
      <c r="O482" s="7">
        <v>1011.75</v>
      </c>
      <c r="P482" s="7">
        <f t="array" ref="P482">K482*O482</f>
        <v>9672.33</v>
      </c>
      <c r="Q482" s="7">
        <f t="array" ref="Q482">L482*O482</f>
        <v>7679.1824999999999</v>
      </c>
      <c r="R482" s="7">
        <f t="array" ref="R482">N482*K482</f>
        <v>2399818.12</v>
      </c>
      <c r="S482" s="7">
        <f t="array" ref="S482">N482*K482*O482</f>
        <v>2428015982.9100003</v>
      </c>
    </row>
    <row r="483" spans="1:19" ht="14.25" customHeight="1" x14ac:dyDescent="0.3">
      <c r="A483">
        <v>482</v>
      </c>
      <c r="B483" s="12">
        <v>45627</v>
      </c>
      <c r="C483" s="5">
        <v>2024</v>
      </c>
      <c r="D483" s="5" t="s">
        <v>39</v>
      </c>
      <c r="E483" s="5" t="s">
        <v>58</v>
      </c>
      <c r="F483" s="6" t="s">
        <v>41</v>
      </c>
      <c r="G483" s="6" t="s">
        <v>21</v>
      </c>
      <c r="H483" s="9" t="s">
        <v>38</v>
      </c>
      <c r="I483" s="9" t="s">
        <v>32</v>
      </c>
      <c r="J483" s="9" t="s">
        <v>49</v>
      </c>
      <c r="K483" s="7">
        <v>17.05</v>
      </c>
      <c r="L483" s="7">
        <v>9.56</v>
      </c>
      <c r="M483" s="8">
        <v>0.439</v>
      </c>
      <c r="N483" s="10">
        <v>55561</v>
      </c>
      <c r="O483" s="7">
        <v>1011.75</v>
      </c>
      <c r="P483" s="7">
        <f t="array" ref="P483">K483*O483</f>
        <v>17250.337500000001</v>
      </c>
      <c r="Q483" s="7">
        <f t="array" ref="Q483">L483*O483</f>
        <v>9672.33</v>
      </c>
      <c r="R483" s="7">
        <f t="array" ref="R483">N483*K483</f>
        <v>947315.05</v>
      </c>
      <c r="S483" s="7">
        <f t="array" ref="S483">N483*K483*O483</f>
        <v>958446001.8375001</v>
      </c>
    </row>
    <row r="484" spans="1:19" ht="14.25" customHeight="1" x14ac:dyDescent="0.3">
      <c r="A484">
        <v>483</v>
      </c>
      <c r="B484" s="12">
        <v>45627</v>
      </c>
      <c r="C484" s="5">
        <v>2024</v>
      </c>
      <c r="D484" s="5" t="s">
        <v>42</v>
      </c>
      <c r="E484" s="5" t="s">
        <v>68</v>
      </c>
      <c r="F484" s="6" t="s">
        <v>44</v>
      </c>
      <c r="G484" s="6" t="s">
        <v>21</v>
      </c>
      <c r="H484" s="9" t="s">
        <v>23</v>
      </c>
      <c r="I484" s="9" t="s">
        <v>24</v>
      </c>
      <c r="J484" s="9" t="s">
        <v>22</v>
      </c>
      <c r="K484" s="7">
        <v>14.8</v>
      </c>
      <c r="L484" s="7">
        <v>9.5500000000000007</v>
      </c>
      <c r="M484" s="8">
        <v>0.35499999999999998</v>
      </c>
      <c r="N484" s="10">
        <v>57063</v>
      </c>
      <c r="O484" s="7">
        <v>1011.75</v>
      </c>
      <c r="P484" s="7">
        <f t="array" ref="P484">K484*O484</f>
        <v>14973.900000000001</v>
      </c>
      <c r="Q484" s="7">
        <f t="array" ref="Q484">L484*O484</f>
        <v>9662.2125000000015</v>
      </c>
      <c r="R484" s="7">
        <f t="array" ref="R484">N484*K484</f>
        <v>844532.4</v>
      </c>
      <c r="S484" s="7">
        <f t="array" ref="S484">N484*K484*O484</f>
        <v>854455655.70000005</v>
      </c>
    </row>
    <row r="485" spans="1:19" ht="14.25" customHeight="1" x14ac:dyDescent="0.3">
      <c r="A485">
        <v>484</v>
      </c>
      <c r="B485" s="12">
        <v>45627</v>
      </c>
      <c r="C485" s="5">
        <v>2024</v>
      </c>
      <c r="D485" s="5" t="s">
        <v>50</v>
      </c>
      <c r="E485" s="5" t="s">
        <v>60</v>
      </c>
      <c r="F485" s="6" t="s">
        <v>56</v>
      </c>
      <c r="G485" s="6" t="s">
        <v>21</v>
      </c>
      <c r="H485" s="9" t="s">
        <v>28</v>
      </c>
      <c r="I485" s="9" t="s">
        <v>32</v>
      </c>
      <c r="J485" s="9" t="s">
        <v>49</v>
      </c>
      <c r="K485" s="7">
        <v>16.55</v>
      </c>
      <c r="L485" s="7">
        <v>10.46</v>
      </c>
      <c r="M485" s="8">
        <v>0.36799999999999999</v>
      </c>
      <c r="N485" s="10">
        <v>100669</v>
      </c>
      <c r="O485" s="7">
        <v>1011.75</v>
      </c>
      <c r="P485" s="7">
        <f t="array" ref="P485">K485*O485</f>
        <v>16744.462500000001</v>
      </c>
      <c r="Q485" s="7">
        <f t="array" ref="Q485">L485*O485</f>
        <v>10582.905000000001</v>
      </c>
      <c r="R485" s="7">
        <f t="array" ref="R485">N485*K485</f>
        <v>1666071.9500000002</v>
      </c>
      <c r="S485" s="7">
        <f t="array" ref="S485">N485*K485*O485</f>
        <v>1685648295.4125001</v>
      </c>
    </row>
    <row r="486" spans="1:19" ht="14.25" customHeight="1" x14ac:dyDescent="0.3">
      <c r="A486">
        <v>485</v>
      </c>
      <c r="B486" s="12">
        <v>45627</v>
      </c>
      <c r="C486" s="5">
        <v>2024</v>
      </c>
      <c r="D486" s="5" t="s">
        <v>50</v>
      </c>
      <c r="E486" s="5" t="s">
        <v>67</v>
      </c>
      <c r="F486" s="6" t="s">
        <v>56</v>
      </c>
      <c r="G486" s="6" t="s">
        <v>64</v>
      </c>
      <c r="H486" s="9" t="s">
        <v>23</v>
      </c>
      <c r="I486" s="9" t="s">
        <v>24</v>
      </c>
      <c r="J486" s="9" t="s">
        <v>31</v>
      </c>
      <c r="K486" s="7">
        <v>18.809999999999999</v>
      </c>
      <c r="L486" s="7">
        <v>11.54</v>
      </c>
      <c r="M486" s="8">
        <v>0.38600000000000001</v>
      </c>
      <c r="N486" s="10">
        <v>104681</v>
      </c>
      <c r="O486" s="7">
        <v>1011.75</v>
      </c>
      <c r="P486" s="7">
        <f t="array" ref="P486">K486*O486</f>
        <v>19031.017499999998</v>
      </c>
      <c r="Q486" s="7">
        <f t="array" ref="Q486">L486*O486</f>
        <v>11675.594999999999</v>
      </c>
      <c r="R486" s="7">
        <f t="array" ref="R486">N486*K486</f>
        <v>1969049.6099999999</v>
      </c>
      <c r="S486" s="7">
        <f t="array" ref="S486">N486*K486*O486</f>
        <v>1992185942.9174998</v>
      </c>
    </row>
    <row r="487" spans="1:19" ht="14.25" customHeight="1" x14ac:dyDescent="0.3">
      <c r="A487">
        <v>486</v>
      </c>
      <c r="B487" s="12">
        <v>45627</v>
      </c>
      <c r="C487" s="5">
        <v>2024</v>
      </c>
      <c r="D487" s="5" t="s">
        <v>18</v>
      </c>
      <c r="E487" s="5" t="s">
        <v>19</v>
      </c>
      <c r="F487" s="6" t="s">
        <v>54</v>
      </c>
      <c r="G487" s="6" t="s">
        <v>21</v>
      </c>
      <c r="H487" s="9" t="s">
        <v>23</v>
      </c>
      <c r="I487" s="9" t="s">
        <v>32</v>
      </c>
      <c r="J487" s="9" t="s">
        <v>22</v>
      </c>
      <c r="K487" s="7">
        <v>5.3</v>
      </c>
      <c r="L487" s="7">
        <v>3.23</v>
      </c>
      <c r="M487" s="8">
        <v>0.39100000000000001</v>
      </c>
      <c r="N487" s="10">
        <v>57853</v>
      </c>
      <c r="O487" s="7">
        <v>1011.75</v>
      </c>
      <c r="P487" s="7">
        <f t="array" ref="P487">K487*O487</f>
        <v>5362.2749999999996</v>
      </c>
      <c r="Q487" s="7">
        <f t="array" ref="Q487">L487*O487</f>
        <v>3267.9524999999999</v>
      </c>
      <c r="R487" s="7">
        <f t="array" ref="R487">N487*K487</f>
        <v>306620.89999999997</v>
      </c>
      <c r="S487" s="7">
        <f t="array" ref="S487">N487*K487*O487</f>
        <v>310223695.57499999</v>
      </c>
    </row>
    <row r="488" spans="1:19" ht="14.25" customHeight="1" x14ac:dyDescent="0.3">
      <c r="A488">
        <v>487</v>
      </c>
      <c r="B488" s="12">
        <v>45627</v>
      </c>
      <c r="C488" s="5">
        <v>2024</v>
      </c>
      <c r="D488" s="5" t="s">
        <v>42</v>
      </c>
      <c r="E488" s="5" t="s">
        <v>68</v>
      </c>
      <c r="F488" s="6" t="s">
        <v>44</v>
      </c>
      <c r="G488" s="6" t="s">
        <v>36</v>
      </c>
      <c r="H488" s="9" t="s">
        <v>28</v>
      </c>
      <c r="I488" s="9" t="s">
        <v>29</v>
      </c>
      <c r="J488" s="9" t="s">
        <v>31</v>
      </c>
      <c r="K488" s="7">
        <v>7.93</v>
      </c>
      <c r="L488" s="7">
        <v>4.4000000000000004</v>
      </c>
      <c r="M488" s="8">
        <v>0.44500000000000001</v>
      </c>
      <c r="N488" s="10">
        <v>289052</v>
      </c>
      <c r="O488" s="7">
        <v>1011.75</v>
      </c>
      <c r="P488" s="7">
        <f t="array" ref="P488">K488*O488</f>
        <v>8023.1774999999998</v>
      </c>
      <c r="Q488" s="7">
        <f t="array" ref="Q488">L488*O488</f>
        <v>4451.7000000000007</v>
      </c>
      <c r="R488" s="7">
        <f t="array" ref="R488">N488*K488</f>
        <v>2292182.36</v>
      </c>
      <c r="S488" s="7">
        <f t="array" ref="S488">N488*K488*O488</f>
        <v>2319115502.73</v>
      </c>
    </row>
    <row r="489" spans="1:19" ht="14.25" customHeight="1" x14ac:dyDescent="0.3">
      <c r="A489">
        <v>488</v>
      </c>
      <c r="B489" s="12">
        <v>45627</v>
      </c>
      <c r="C489" s="5">
        <v>2024</v>
      </c>
      <c r="D489" s="5" t="s">
        <v>18</v>
      </c>
      <c r="E489" s="5" t="s">
        <v>19</v>
      </c>
      <c r="F489" s="6" t="s">
        <v>54</v>
      </c>
      <c r="G489" s="6" t="s">
        <v>21</v>
      </c>
      <c r="H489" s="9" t="s">
        <v>28</v>
      </c>
      <c r="I489" s="9" t="s">
        <v>24</v>
      </c>
      <c r="J489" s="9" t="s">
        <v>49</v>
      </c>
      <c r="K489" s="7">
        <v>12.32</v>
      </c>
      <c r="L489" s="7">
        <v>9.58</v>
      </c>
      <c r="M489" s="8">
        <v>0.222</v>
      </c>
      <c r="N489" s="10">
        <v>289658</v>
      </c>
      <c r="O489" s="7">
        <v>1011.75</v>
      </c>
      <c r="P489" s="7">
        <f t="array" ref="P489">K489*O489</f>
        <v>12464.76</v>
      </c>
      <c r="Q489" s="7">
        <f t="array" ref="Q489">L489*O489</f>
        <v>9692.5650000000005</v>
      </c>
      <c r="R489" s="7">
        <f t="array" ref="R489">N489*K489</f>
        <v>3568586.56</v>
      </c>
      <c r="S489" s="7">
        <f t="array" ref="S489">N489*K489*O489</f>
        <v>3610517452.0799999</v>
      </c>
    </row>
    <row r="490" spans="1:19" ht="14.25" customHeight="1" x14ac:dyDescent="0.3">
      <c r="A490">
        <v>489</v>
      </c>
      <c r="B490" s="12">
        <v>45627</v>
      </c>
      <c r="C490" s="5">
        <v>2024</v>
      </c>
      <c r="D490" s="5" t="s">
        <v>50</v>
      </c>
      <c r="E490" s="5" t="s">
        <v>60</v>
      </c>
      <c r="F490" s="6" t="s">
        <v>62</v>
      </c>
      <c r="G490" s="6" t="s">
        <v>21</v>
      </c>
      <c r="H490" s="9" t="s">
        <v>23</v>
      </c>
      <c r="I490" s="9" t="s">
        <v>29</v>
      </c>
      <c r="J490" s="9" t="s">
        <v>31</v>
      </c>
      <c r="K490" s="7">
        <v>5.1100000000000003</v>
      </c>
      <c r="L490" s="7">
        <v>2.62</v>
      </c>
      <c r="M490" s="8">
        <v>0.48699999999999999</v>
      </c>
      <c r="N490" s="10">
        <v>75875</v>
      </c>
      <c r="O490" s="7">
        <v>1011.75</v>
      </c>
      <c r="P490" s="7">
        <f t="array" ref="P490">K490*O490</f>
        <v>5170.0425000000005</v>
      </c>
      <c r="Q490" s="7">
        <f t="array" ref="Q490">L490*O490</f>
        <v>2650.7850000000003</v>
      </c>
      <c r="R490" s="7">
        <f t="array" ref="R490">N490*K490</f>
        <v>387721.25</v>
      </c>
      <c r="S490" s="7">
        <f t="array" ref="S490">N490*K490*O490</f>
        <v>392276974.6875</v>
      </c>
    </row>
    <row r="491" spans="1:19" ht="14.25" customHeight="1" x14ac:dyDescent="0.3">
      <c r="A491">
        <v>490</v>
      </c>
      <c r="B491" s="12">
        <v>45627</v>
      </c>
      <c r="C491" s="5">
        <v>2024</v>
      </c>
      <c r="D491" s="5" t="s">
        <v>25</v>
      </c>
      <c r="E491" s="5" t="s">
        <v>26</v>
      </c>
      <c r="F491" s="6" t="s">
        <v>30</v>
      </c>
      <c r="G491" s="6" t="s">
        <v>36</v>
      </c>
      <c r="H491" s="9" t="s">
        <v>23</v>
      </c>
      <c r="I491" s="9" t="s">
        <v>29</v>
      </c>
      <c r="J491" s="9" t="s">
        <v>49</v>
      </c>
      <c r="K491" s="7">
        <v>6.38</v>
      </c>
      <c r="L491" s="7">
        <v>5.0999999999999996</v>
      </c>
      <c r="M491" s="8">
        <v>0.20100000000000001</v>
      </c>
      <c r="N491" s="10">
        <v>253542</v>
      </c>
      <c r="O491" s="7">
        <v>1011.75</v>
      </c>
      <c r="P491" s="7">
        <f t="array" ref="P491">K491*O491</f>
        <v>6454.9650000000001</v>
      </c>
      <c r="Q491" s="7">
        <f t="array" ref="Q491">L491*O491</f>
        <v>5159.9249999999993</v>
      </c>
      <c r="R491" s="7">
        <f t="array" ref="R491">N491*K491</f>
        <v>1617597.96</v>
      </c>
      <c r="S491" s="7">
        <f t="array" ref="S491">N491*K491*O491</f>
        <v>1636604736.03</v>
      </c>
    </row>
    <row r="492" spans="1:19" ht="14.25" customHeight="1" x14ac:dyDescent="0.3">
      <c r="A492">
        <v>491</v>
      </c>
      <c r="B492" s="12">
        <v>45627</v>
      </c>
      <c r="C492" s="5">
        <v>2024</v>
      </c>
      <c r="D492" s="5" t="s">
        <v>25</v>
      </c>
      <c r="E492" s="5" t="s">
        <v>70</v>
      </c>
      <c r="F492" s="6" t="s">
        <v>63</v>
      </c>
      <c r="G492" s="6" t="s">
        <v>36</v>
      </c>
      <c r="H492" s="9" t="s">
        <v>38</v>
      </c>
      <c r="I492" s="9" t="s">
        <v>46</v>
      </c>
      <c r="J492" s="9" t="s">
        <v>31</v>
      </c>
      <c r="K492" s="7">
        <v>10.38</v>
      </c>
      <c r="L492" s="7">
        <v>8.14</v>
      </c>
      <c r="M492" s="8">
        <v>0.216</v>
      </c>
      <c r="N492" s="10">
        <v>253946</v>
      </c>
      <c r="O492" s="7">
        <v>1011.75</v>
      </c>
      <c r="P492" s="7">
        <f t="array" ref="P492">K492*O492</f>
        <v>10501.965</v>
      </c>
      <c r="Q492" s="7">
        <f t="array" ref="Q492">L492*O492</f>
        <v>8235.6450000000004</v>
      </c>
      <c r="R492" s="7">
        <f t="array" ref="R492">N492*K492</f>
        <v>2635959.48</v>
      </c>
      <c r="S492" s="7">
        <f t="array" ref="S492">N492*K492*O492</f>
        <v>2666932003.8899999</v>
      </c>
    </row>
    <row r="493" spans="1:19" ht="14.25" customHeight="1" x14ac:dyDescent="0.3">
      <c r="A493">
        <v>492</v>
      </c>
      <c r="B493" s="12">
        <v>45627</v>
      </c>
      <c r="C493" s="5">
        <v>2024</v>
      </c>
      <c r="D493" s="5" t="s">
        <v>18</v>
      </c>
      <c r="E493" s="5" t="s">
        <v>59</v>
      </c>
      <c r="F493" s="6" t="s">
        <v>20</v>
      </c>
      <c r="G493" s="6" t="s">
        <v>21</v>
      </c>
      <c r="H493" s="9" t="s">
        <v>28</v>
      </c>
      <c r="I493" s="9" t="s">
        <v>46</v>
      </c>
      <c r="J493" s="9" t="s">
        <v>49</v>
      </c>
      <c r="K493" s="7">
        <v>15.98</v>
      </c>
      <c r="L493" s="7">
        <v>10.84</v>
      </c>
      <c r="M493" s="8">
        <v>0.32200000000000001</v>
      </c>
      <c r="N493" s="10">
        <v>89677</v>
      </c>
      <c r="O493" s="7">
        <v>1011.75</v>
      </c>
      <c r="P493" s="7">
        <f t="array" ref="P493">K493*O493</f>
        <v>16167.765000000001</v>
      </c>
      <c r="Q493" s="7">
        <f t="array" ref="Q493">L493*O493</f>
        <v>10967.369999999999</v>
      </c>
      <c r="R493" s="7">
        <f t="array" ref="R493">N493*K493</f>
        <v>1433038.46</v>
      </c>
      <c r="S493" s="7">
        <f t="array" ref="S493">N493*K493*O493</f>
        <v>1449876661.905</v>
      </c>
    </row>
    <row r="494" spans="1:19" ht="14.25" customHeight="1" x14ac:dyDescent="0.3">
      <c r="A494">
        <v>493</v>
      </c>
      <c r="B494" s="12">
        <v>45627</v>
      </c>
      <c r="C494" s="5">
        <v>2024</v>
      </c>
      <c r="D494" s="5" t="s">
        <v>39</v>
      </c>
      <c r="E494" s="5" t="s">
        <v>58</v>
      </c>
      <c r="F494" s="6" t="s">
        <v>20</v>
      </c>
      <c r="G494" s="6" t="s">
        <v>21</v>
      </c>
      <c r="H494" s="9" t="s">
        <v>23</v>
      </c>
      <c r="I494" s="9" t="s">
        <v>29</v>
      </c>
      <c r="J494" s="9" t="s">
        <v>31</v>
      </c>
      <c r="K494" s="7">
        <v>19.64</v>
      </c>
      <c r="L494" s="7">
        <v>14.69</v>
      </c>
      <c r="M494" s="8">
        <v>0.252</v>
      </c>
      <c r="N494" s="10">
        <v>192280</v>
      </c>
      <c r="O494" s="7">
        <v>1011.75</v>
      </c>
      <c r="P494" s="7">
        <f t="array" ref="P494">K494*O494</f>
        <v>19870.77</v>
      </c>
      <c r="Q494" s="7">
        <f t="array" ref="Q494">L494*O494</f>
        <v>14862.6075</v>
      </c>
      <c r="R494" s="7">
        <f t="array" ref="R494">N494*K494</f>
        <v>3776379.2</v>
      </c>
      <c r="S494" s="7">
        <f t="array" ref="S494">N494*K494*O494</f>
        <v>3820751655.6000004</v>
      </c>
    </row>
    <row r="495" spans="1:19" ht="14.25" customHeight="1" x14ac:dyDescent="0.3">
      <c r="A495">
        <v>494</v>
      </c>
      <c r="B495" s="12">
        <v>45627</v>
      </c>
      <c r="C495" s="5">
        <v>2024</v>
      </c>
      <c r="D495" s="5" t="s">
        <v>33</v>
      </c>
      <c r="E495" s="5" t="s">
        <v>57</v>
      </c>
      <c r="F495" s="6" t="s">
        <v>20</v>
      </c>
      <c r="G495" s="6" t="s">
        <v>36</v>
      </c>
      <c r="H495" s="9" t="s">
        <v>28</v>
      </c>
      <c r="I495" s="9" t="s">
        <v>29</v>
      </c>
      <c r="J495" s="9" t="s">
        <v>22</v>
      </c>
      <c r="K495" s="7">
        <v>18.03</v>
      </c>
      <c r="L495" s="7">
        <v>12.52</v>
      </c>
      <c r="M495" s="8">
        <v>0.30599999999999999</v>
      </c>
      <c r="N495" s="10">
        <v>88069</v>
      </c>
      <c r="O495" s="7">
        <v>1011.75</v>
      </c>
      <c r="P495" s="7">
        <f t="array" ref="P495">K495*O495</f>
        <v>18241.852500000001</v>
      </c>
      <c r="Q495" s="7">
        <f t="array" ref="Q495">L495*O495</f>
        <v>12667.109999999999</v>
      </c>
      <c r="R495" s="7">
        <f t="array" ref="R495">N495*K495</f>
        <v>1587884.07</v>
      </c>
      <c r="S495" s="7">
        <f t="array" ref="S495">N495*K495*O495</f>
        <v>1606541707.8225</v>
      </c>
    </row>
    <row r="496" spans="1:19" ht="14.25" customHeight="1" x14ac:dyDescent="0.3">
      <c r="A496">
        <v>495</v>
      </c>
      <c r="B496" s="12">
        <v>45627</v>
      </c>
      <c r="C496" s="5">
        <v>2024</v>
      </c>
      <c r="D496" s="5" t="s">
        <v>50</v>
      </c>
      <c r="E496" s="5" t="s">
        <v>60</v>
      </c>
      <c r="F496" s="6" t="s">
        <v>62</v>
      </c>
      <c r="G496" s="6" t="s">
        <v>36</v>
      </c>
      <c r="H496" s="9" t="s">
        <v>23</v>
      </c>
      <c r="I496" s="9" t="s">
        <v>29</v>
      </c>
      <c r="J496" s="9" t="s">
        <v>31</v>
      </c>
      <c r="K496" s="7">
        <v>14.12</v>
      </c>
      <c r="L496" s="7">
        <v>9.84</v>
      </c>
      <c r="M496" s="8">
        <v>0.30299999999999999</v>
      </c>
      <c r="N496" s="10">
        <v>119586</v>
      </c>
      <c r="O496" s="7">
        <v>1011.75</v>
      </c>
      <c r="P496" s="7">
        <f t="array" ref="P496">K496*O496</f>
        <v>14285.91</v>
      </c>
      <c r="Q496" s="7">
        <f t="array" ref="Q496">L496*O496</f>
        <v>9955.619999999999</v>
      </c>
      <c r="R496" s="7">
        <f t="array" ref="R496">N496*K496</f>
        <v>1688554.3199999998</v>
      </c>
      <c r="S496" s="7">
        <f t="array" ref="S496">N496*K496*O496</f>
        <v>1708394833.2599998</v>
      </c>
    </row>
    <row r="497" spans="1:19" ht="14.25" customHeight="1" x14ac:dyDescent="0.3">
      <c r="A497">
        <v>496</v>
      </c>
      <c r="B497" s="12">
        <v>45627</v>
      </c>
      <c r="C497" s="5">
        <v>2024</v>
      </c>
      <c r="D497" s="5" t="s">
        <v>18</v>
      </c>
      <c r="E497" s="5" t="s">
        <v>59</v>
      </c>
      <c r="F497" s="6" t="s">
        <v>54</v>
      </c>
      <c r="G497" s="6" t="s">
        <v>21</v>
      </c>
      <c r="H497" s="9" t="s">
        <v>23</v>
      </c>
      <c r="I497" s="9" t="s">
        <v>29</v>
      </c>
      <c r="J497" s="9" t="s">
        <v>31</v>
      </c>
      <c r="K497" s="7">
        <v>19.55</v>
      </c>
      <c r="L497" s="7">
        <v>14.22</v>
      </c>
      <c r="M497" s="8">
        <v>0.27300000000000002</v>
      </c>
      <c r="N497" s="10">
        <v>58424</v>
      </c>
      <c r="O497" s="7">
        <v>1011.75</v>
      </c>
      <c r="P497" s="7">
        <f t="array" ref="P497">K497*O497</f>
        <v>19779.712500000001</v>
      </c>
      <c r="Q497" s="7">
        <f t="array" ref="Q497">L497*O497</f>
        <v>14387.085000000001</v>
      </c>
      <c r="R497" s="7">
        <f t="array" ref="R497">N497*K497</f>
        <v>1142189.2</v>
      </c>
      <c r="S497" s="7">
        <f t="array" ref="S497">N497*K497*O497</f>
        <v>1155609923.0999999</v>
      </c>
    </row>
    <row r="498" spans="1:19" ht="14.25" customHeight="1" x14ac:dyDescent="0.3">
      <c r="A498">
        <v>497</v>
      </c>
      <c r="B498" s="12">
        <v>45627</v>
      </c>
      <c r="C498" s="5">
        <v>2024</v>
      </c>
      <c r="D498" s="5" t="s">
        <v>25</v>
      </c>
      <c r="E498" s="5" t="s">
        <v>70</v>
      </c>
      <c r="F498" s="6" t="s">
        <v>63</v>
      </c>
      <c r="G498" s="6" t="s">
        <v>36</v>
      </c>
      <c r="H498" s="9" t="s">
        <v>23</v>
      </c>
      <c r="I498" s="9" t="s">
        <v>29</v>
      </c>
      <c r="J498" s="9" t="s">
        <v>49</v>
      </c>
      <c r="K498" s="7">
        <v>16.86</v>
      </c>
      <c r="L498" s="7">
        <v>10.11</v>
      </c>
      <c r="M498" s="8">
        <v>0.4</v>
      </c>
      <c r="N498" s="10">
        <v>201526</v>
      </c>
      <c r="O498" s="7">
        <v>1011.75</v>
      </c>
      <c r="P498" s="7">
        <f t="array" ref="P498">K498*O498</f>
        <v>17058.105</v>
      </c>
      <c r="Q498" s="7">
        <f t="array" ref="Q498">L498*O498</f>
        <v>10228.7925</v>
      </c>
      <c r="R498" s="7">
        <f t="array" ref="R498">N498*K498</f>
        <v>3397728.36</v>
      </c>
      <c r="S498" s="7">
        <f t="array" ref="S498">N498*K498*O498</f>
        <v>3437651668.23</v>
      </c>
    </row>
    <row r="499" spans="1:19" ht="14.25" customHeight="1" x14ac:dyDescent="0.3">
      <c r="A499">
        <v>498</v>
      </c>
      <c r="B499" s="12">
        <v>45627</v>
      </c>
      <c r="C499" s="5">
        <v>2024</v>
      </c>
      <c r="D499" s="5" t="s">
        <v>42</v>
      </c>
      <c r="E499" s="5" t="s">
        <v>43</v>
      </c>
      <c r="F499" s="6" t="s">
        <v>44</v>
      </c>
      <c r="G499" s="6" t="s">
        <v>21</v>
      </c>
      <c r="H499" s="9" t="s">
        <v>38</v>
      </c>
      <c r="I499" s="9" t="s">
        <v>24</v>
      </c>
      <c r="J499" s="9" t="s">
        <v>31</v>
      </c>
      <c r="K499" s="7">
        <v>14.12</v>
      </c>
      <c r="L499" s="7">
        <v>8.9700000000000006</v>
      </c>
      <c r="M499" s="8">
        <v>0.36499999999999999</v>
      </c>
      <c r="N499" s="10">
        <v>172217</v>
      </c>
      <c r="O499" s="7">
        <v>1011.75</v>
      </c>
      <c r="P499" s="7">
        <f t="array" ref="P499">K499*O499</f>
        <v>14285.91</v>
      </c>
      <c r="Q499" s="7">
        <f t="array" ref="Q499">L499*O499</f>
        <v>9075.3975000000009</v>
      </c>
      <c r="R499" s="7">
        <f t="array" ref="R499">N499*K499</f>
        <v>2431704.04</v>
      </c>
      <c r="S499" s="7">
        <f t="array" ref="S499">N499*K499*O499</f>
        <v>2460276562.4700003</v>
      </c>
    </row>
    <row r="500" spans="1:19" ht="14.25" customHeight="1" x14ac:dyDescent="0.3">
      <c r="A500">
        <v>499</v>
      </c>
      <c r="B500" s="12">
        <v>45627</v>
      </c>
      <c r="C500" s="5">
        <v>2024</v>
      </c>
      <c r="D500" s="5" t="s">
        <v>39</v>
      </c>
      <c r="E500" s="5" t="s">
        <v>58</v>
      </c>
      <c r="F500" s="6" t="s">
        <v>48</v>
      </c>
      <c r="G500" s="6" t="s">
        <v>21</v>
      </c>
      <c r="H500" s="9" t="s">
        <v>23</v>
      </c>
      <c r="I500" s="9" t="s">
        <v>32</v>
      </c>
      <c r="J500" s="9" t="s">
        <v>22</v>
      </c>
      <c r="K500" s="7">
        <v>13.91</v>
      </c>
      <c r="L500" s="7">
        <v>9.33</v>
      </c>
      <c r="M500" s="8">
        <v>0.32900000000000001</v>
      </c>
      <c r="N500" s="10">
        <v>230225</v>
      </c>
      <c r="O500" s="7">
        <v>1011.75</v>
      </c>
      <c r="P500" s="7">
        <f t="array" ref="P500">K500*O500</f>
        <v>14073.442500000001</v>
      </c>
      <c r="Q500" s="7">
        <f t="array" ref="Q500">L500*O500</f>
        <v>9439.6275000000005</v>
      </c>
      <c r="R500" s="7">
        <f t="array" ref="R500">N500*K500</f>
        <v>3202429.75</v>
      </c>
      <c r="S500" s="7">
        <f t="array" ref="S500">N500*K500*O500</f>
        <v>3240058299.5625</v>
      </c>
    </row>
    <row r="501" spans="1:19" ht="14.25" customHeight="1" x14ac:dyDescent="0.3">
      <c r="A501">
        <v>500</v>
      </c>
      <c r="B501" s="12">
        <v>45627</v>
      </c>
      <c r="C501" s="5">
        <v>2024</v>
      </c>
      <c r="D501" s="5" t="s">
        <v>42</v>
      </c>
      <c r="E501" s="5" t="s">
        <v>66</v>
      </c>
      <c r="F501" s="6" t="s">
        <v>69</v>
      </c>
      <c r="G501" s="6" t="s">
        <v>21</v>
      </c>
      <c r="H501" s="9" t="s">
        <v>28</v>
      </c>
      <c r="I501" s="9" t="s">
        <v>32</v>
      </c>
      <c r="J501" s="9" t="s">
        <v>31</v>
      </c>
      <c r="K501" s="7">
        <v>17.98</v>
      </c>
      <c r="L501" s="7">
        <v>10.24</v>
      </c>
      <c r="M501" s="8">
        <v>0.43</v>
      </c>
      <c r="N501" s="10">
        <v>77523</v>
      </c>
      <c r="O501" s="7">
        <v>1011.75</v>
      </c>
      <c r="P501" s="7">
        <f t="array" ref="P501">K501*O501</f>
        <v>18191.264999999999</v>
      </c>
      <c r="Q501" s="7">
        <f t="array" ref="Q501">L501*O501</f>
        <v>10360.32</v>
      </c>
      <c r="R501" s="7">
        <f t="array" ref="R501">N501*K501</f>
        <v>1393863.54</v>
      </c>
      <c r="S501" s="7">
        <f t="array" ref="S501">N501*K501*O501</f>
        <v>1410241436.595</v>
      </c>
    </row>
    <row r="502" spans="1:19" ht="14.25" customHeight="1" x14ac:dyDescent="0.3">
      <c r="B502" s="12"/>
      <c r="F502" s="6"/>
      <c r="G502" s="6"/>
      <c r="H502" s="9"/>
      <c r="I502" s="9"/>
      <c r="J502" s="9"/>
      <c r="K502" s="7"/>
      <c r="L502" s="7"/>
      <c r="M502" s="8"/>
      <c r="O502" s="7"/>
      <c r="P502" s="7"/>
      <c r="Q502" s="7"/>
      <c r="R502" s="7"/>
      <c r="S502" s="7"/>
    </row>
    <row r="503" spans="1:19" ht="14.25" customHeight="1" x14ac:dyDescent="0.3">
      <c r="B503" s="12"/>
      <c r="F503" s="6"/>
      <c r="G503" s="6"/>
      <c r="H503" s="9"/>
      <c r="I503" s="9"/>
      <c r="J503" s="9"/>
      <c r="K503" s="7"/>
      <c r="L503" s="7"/>
      <c r="M503" s="8"/>
      <c r="O503" s="7"/>
      <c r="P503" s="7"/>
      <c r="Q503" s="7"/>
      <c r="R503" s="7"/>
      <c r="S503" s="7"/>
    </row>
    <row r="504" spans="1:19" ht="14.25" customHeight="1" x14ac:dyDescent="0.3">
      <c r="B504" s="12"/>
      <c r="F504" s="6"/>
      <c r="G504" s="6"/>
      <c r="H504" s="9"/>
      <c r="I504" s="9"/>
      <c r="J504" s="9"/>
      <c r="K504" s="7"/>
      <c r="L504" s="7"/>
      <c r="M504" s="8"/>
      <c r="O504" s="7"/>
      <c r="P504" s="7"/>
      <c r="Q504" s="7"/>
      <c r="R504" s="7"/>
      <c r="S504" s="7"/>
    </row>
    <row r="505" spans="1:19" ht="14.25" customHeight="1" x14ac:dyDescent="0.3">
      <c r="B505" s="12"/>
      <c r="F505" s="6"/>
      <c r="G505" s="6"/>
      <c r="H505" s="9"/>
      <c r="I505" s="9"/>
      <c r="J505" s="9"/>
      <c r="K505" s="7"/>
      <c r="L505" s="7"/>
      <c r="M505" s="8"/>
      <c r="O505" s="7"/>
      <c r="P505" s="7"/>
      <c r="Q505" s="7"/>
      <c r="R505" s="7"/>
      <c r="S505" s="7"/>
    </row>
    <row r="506" spans="1:19" ht="14.25" customHeight="1" x14ac:dyDescent="0.3">
      <c r="B506" s="12"/>
      <c r="F506" s="6"/>
      <c r="G506" s="6"/>
      <c r="H506" s="9"/>
      <c r="I506" s="9"/>
      <c r="J506" s="9"/>
      <c r="K506" s="7"/>
      <c r="L506" s="7"/>
      <c r="M506" s="8"/>
      <c r="O506" s="7"/>
      <c r="P506" s="7"/>
      <c r="Q506" s="7"/>
      <c r="R506" s="7"/>
      <c r="S506" s="7"/>
    </row>
    <row r="507" spans="1:19" ht="14.25" customHeight="1" x14ac:dyDescent="0.3">
      <c r="B507" s="12"/>
      <c r="F507" s="6"/>
      <c r="G507" s="6"/>
      <c r="H507" s="9"/>
      <c r="I507" s="9"/>
      <c r="J507" s="9"/>
      <c r="K507" s="7"/>
      <c r="L507" s="7"/>
      <c r="M507" s="8"/>
      <c r="O507" s="7"/>
      <c r="P507" s="7"/>
      <c r="Q507" s="7"/>
      <c r="R507" s="7"/>
      <c r="S507" s="7"/>
    </row>
    <row r="508" spans="1:19" ht="14.25" customHeight="1" x14ac:dyDescent="0.3">
      <c r="B508" s="12"/>
      <c r="F508" s="6"/>
      <c r="G508" s="6"/>
      <c r="H508" s="9"/>
      <c r="I508" s="9"/>
      <c r="J508" s="9"/>
      <c r="K508" s="7"/>
      <c r="L508" s="7"/>
      <c r="M508" s="8"/>
      <c r="O508" s="7"/>
      <c r="P508" s="7"/>
      <c r="Q508" s="7"/>
      <c r="R508" s="7"/>
      <c r="S508" s="7"/>
    </row>
    <row r="509" spans="1:19" ht="14.25" customHeight="1" x14ac:dyDescent="0.3">
      <c r="B509" s="12"/>
      <c r="F509" s="6"/>
      <c r="G509" s="6"/>
      <c r="H509" s="9"/>
      <c r="I509" s="9"/>
      <c r="J509" s="9"/>
      <c r="K509" s="7"/>
      <c r="L509" s="7"/>
      <c r="M509" s="8"/>
      <c r="O509" s="7"/>
      <c r="P509" s="7"/>
      <c r="Q509" s="7"/>
      <c r="R509" s="7"/>
      <c r="S509" s="7"/>
    </row>
    <row r="510" spans="1:19" ht="14.25" customHeight="1" x14ac:dyDescent="0.3">
      <c r="B510" s="12"/>
      <c r="F510" s="6"/>
      <c r="G510" s="6"/>
      <c r="H510" s="9"/>
      <c r="I510" s="9"/>
      <c r="J510" s="9"/>
      <c r="K510" s="7"/>
      <c r="L510" s="7"/>
      <c r="M510" s="8"/>
      <c r="O510" s="7"/>
      <c r="P510" s="7"/>
      <c r="Q510" s="7"/>
      <c r="R510" s="7"/>
      <c r="S510" s="7"/>
    </row>
    <row r="511" spans="1:19" ht="14.25" customHeight="1" x14ac:dyDescent="0.3">
      <c r="B511" s="12"/>
      <c r="F511" s="6"/>
      <c r="G511" s="6"/>
      <c r="H511" s="9"/>
      <c r="I511" s="9"/>
      <c r="J511" s="9"/>
      <c r="K511" s="7"/>
      <c r="L511" s="7"/>
      <c r="M511" s="8"/>
      <c r="O511" s="7"/>
      <c r="P511" s="7"/>
      <c r="Q511" s="7"/>
      <c r="R511" s="7"/>
      <c r="S511" s="7"/>
    </row>
    <row r="512" spans="1:19" ht="14.25" customHeight="1" x14ac:dyDescent="0.3">
      <c r="B512" s="12"/>
      <c r="F512" s="6"/>
      <c r="G512" s="6"/>
      <c r="H512" s="9"/>
      <c r="I512" s="9"/>
      <c r="J512" s="9"/>
      <c r="K512" s="7"/>
      <c r="L512" s="7"/>
      <c r="M512" s="8"/>
      <c r="O512" s="7"/>
      <c r="P512" s="7"/>
      <c r="Q512" s="7"/>
      <c r="R512" s="7"/>
      <c r="S512" s="7"/>
    </row>
    <row r="513" spans="2:19" ht="14.25" customHeight="1" x14ac:dyDescent="0.3">
      <c r="B513" s="12"/>
      <c r="F513" s="6"/>
      <c r="G513" s="6"/>
      <c r="H513" s="9"/>
      <c r="I513" s="9"/>
      <c r="J513" s="9"/>
      <c r="K513" s="7"/>
      <c r="L513" s="7"/>
      <c r="M513" s="8"/>
      <c r="O513" s="7"/>
      <c r="P513" s="7"/>
      <c r="Q513" s="7"/>
      <c r="R513" s="7"/>
      <c r="S513" s="7"/>
    </row>
    <row r="514" spans="2:19" ht="14.25" customHeight="1" x14ac:dyDescent="0.3">
      <c r="B514" s="12"/>
      <c r="F514" s="6"/>
      <c r="G514" s="6"/>
      <c r="H514" s="9"/>
      <c r="I514" s="9"/>
      <c r="J514" s="9"/>
      <c r="K514" s="7"/>
      <c r="L514" s="7"/>
      <c r="M514" s="8"/>
      <c r="O514" s="7"/>
      <c r="P514" s="7"/>
      <c r="Q514" s="7"/>
      <c r="R514" s="7"/>
      <c r="S514" s="7"/>
    </row>
    <row r="515" spans="2:19" ht="14.25" customHeight="1" x14ac:dyDescent="0.3">
      <c r="B515" s="12"/>
      <c r="F515" s="6"/>
      <c r="G515" s="6"/>
      <c r="H515" s="9"/>
      <c r="I515" s="9"/>
      <c r="J515" s="9"/>
      <c r="K515" s="7"/>
      <c r="L515" s="7"/>
      <c r="M515" s="8"/>
      <c r="O515" s="7"/>
      <c r="P515" s="7"/>
      <c r="Q515" s="7"/>
      <c r="R515" s="7"/>
      <c r="S515" s="7"/>
    </row>
    <row r="516" spans="2:19" ht="14.25" customHeight="1" x14ac:dyDescent="0.3">
      <c r="B516" s="12"/>
      <c r="F516" s="6"/>
      <c r="G516" s="6"/>
      <c r="H516" s="9"/>
      <c r="I516" s="9"/>
      <c r="J516" s="9"/>
      <c r="K516" s="7"/>
      <c r="L516" s="7"/>
      <c r="M516" s="8"/>
      <c r="O516" s="7"/>
      <c r="P516" s="7"/>
      <c r="Q516" s="7"/>
      <c r="R516" s="7"/>
      <c r="S516" s="7"/>
    </row>
    <row r="517" spans="2:19" ht="14.25" customHeight="1" x14ac:dyDescent="0.3">
      <c r="B517" s="12"/>
      <c r="F517" s="6"/>
      <c r="G517" s="6"/>
      <c r="H517" s="9"/>
      <c r="I517" s="9"/>
      <c r="J517" s="9"/>
      <c r="K517" s="7"/>
      <c r="L517" s="7"/>
      <c r="M517" s="8"/>
      <c r="O517" s="7"/>
      <c r="P517" s="7"/>
      <c r="Q517" s="7"/>
      <c r="R517" s="7"/>
      <c r="S517" s="7"/>
    </row>
    <row r="518" spans="2:19" ht="14.25" customHeight="1" x14ac:dyDescent="0.3">
      <c r="B518" s="12"/>
      <c r="F518" s="6"/>
      <c r="G518" s="6"/>
      <c r="H518" s="9"/>
      <c r="I518" s="9"/>
      <c r="J518" s="9"/>
      <c r="K518" s="7"/>
      <c r="L518" s="7"/>
      <c r="M518" s="8"/>
      <c r="O518" s="7"/>
      <c r="P518" s="7"/>
      <c r="Q518" s="7"/>
      <c r="R518" s="7"/>
      <c r="S518" s="7"/>
    </row>
    <row r="519" spans="2:19" ht="14.25" customHeight="1" x14ac:dyDescent="0.3">
      <c r="B519" s="12"/>
      <c r="F519" s="6"/>
      <c r="G519" s="6"/>
      <c r="H519" s="9"/>
      <c r="I519" s="9"/>
      <c r="J519" s="9"/>
      <c r="K519" s="7"/>
      <c r="L519" s="7"/>
      <c r="M519" s="8"/>
      <c r="O519" s="7"/>
      <c r="P519" s="7"/>
      <c r="Q519" s="7"/>
      <c r="R519" s="7"/>
      <c r="S519" s="7"/>
    </row>
    <row r="520" spans="2:19" ht="14.25" customHeight="1" x14ac:dyDescent="0.3">
      <c r="B520" s="12"/>
      <c r="F520" s="6"/>
      <c r="G520" s="6"/>
      <c r="H520" s="9"/>
      <c r="I520" s="9"/>
      <c r="J520" s="9"/>
      <c r="K520" s="7"/>
      <c r="L520" s="7"/>
      <c r="M520" s="8"/>
      <c r="O520" s="7"/>
      <c r="P520" s="7"/>
      <c r="Q520" s="7"/>
      <c r="R520" s="7"/>
      <c r="S520" s="7"/>
    </row>
    <row r="521" spans="2:19" ht="14.25" customHeight="1" x14ac:dyDescent="0.3">
      <c r="B521" s="12"/>
      <c r="F521" s="6"/>
      <c r="G521" s="6"/>
      <c r="H521" s="9"/>
      <c r="I521" s="9"/>
      <c r="J521" s="9"/>
      <c r="K521" s="7"/>
      <c r="L521" s="7"/>
      <c r="M521" s="8"/>
      <c r="O521" s="7"/>
      <c r="P521" s="7"/>
      <c r="Q521" s="7"/>
      <c r="R521" s="7"/>
      <c r="S521" s="7"/>
    </row>
    <row r="522" spans="2:19" ht="14.25" customHeight="1" x14ac:dyDescent="0.3">
      <c r="B522" s="12"/>
      <c r="F522" s="6"/>
      <c r="G522" s="6"/>
      <c r="H522" s="9"/>
      <c r="I522" s="9"/>
      <c r="J522" s="9"/>
      <c r="K522" s="7"/>
      <c r="L522" s="7"/>
      <c r="M522" s="8"/>
      <c r="O522" s="7"/>
      <c r="P522" s="7"/>
      <c r="Q522" s="7"/>
      <c r="R522" s="7"/>
      <c r="S522" s="7"/>
    </row>
    <row r="523" spans="2:19" ht="14.25" customHeight="1" x14ac:dyDescent="0.3">
      <c r="B523" s="12"/>
      <c r="F523" s="6"/>
      <c r="G523" s="6"/>
      <c r="H523" s="9"/>
      <c r="I523" s="9"/>
      <c r="J523" s="9"/>
      <c r="K523" s="7"/>
      <c r="L523" s="7"/>
      <c r="M523" s="8"/>
      <c r="O523" s="7"/>
      <c r="P523" s="7"/>
      <c r="Q523" s="7"/>
      <c r="R523" s="7"/>
      <c r="S523" s="7"/>
    </row>
    <row r="524" spans="2:19" ht="14.25" customHeight="1" x14ac:dyDescent="0.3">
      <c r="B524" s="12"/>
      <c r="F524" s="6"/>
      <c r="G524" s="6"/>
      <c r="H524" s="9"/>
      <c r="I524" s="9"/>
      <c r="J524" s="9"/>
      <c r="K524" s="7"/>
      <c r="L524" s="7"/>
      <c r="M524" s="8"/>
      <c r="O524" s="7"/>
      <c r="P524" s="7"/>
      <c r="Q524" s="7"/>
      <c r="R524" s="7"/>
      <c r="S524" s="7"/>
    </row>
    <row r="525" spans="2:19" ht="14.25" customHeight="1" x14ac:dyDescent="0.3">
      <c r="B525" s="12"/>
      <c r="F525" s="6"/>
      <c r="G525" s="6"/>
      <c r="H525" s="9"/>
      <c r="I525" s="9"/>
      <c r="J525" s="9"/>
      <c r="K525" s="7"/>
      <c r="L525" s="7"/>
      <c r="M525" s="8"/>
      <c r="O525" s="7"/>
      <c r="P525" s="7"/>
      <c r="Q525" s="7"/>
      <c r="R525" s="7"/>
      <c r="S525" s="7"/>
    </row>
    <row r="526" spans="2:19" ht="14.25" customHeight="1" x14ac:dyDescent="0.3">
      <c r="B526" s="12"/>
      <c r="F526" s="6"/>
      <c r="G526" s="6"/>
      <c r="H526" s="9"/>
      <c r="I526" s="9"/>
      <c r="J526" s="9"/>
      <c r="K526" s="7"/>
      <c r="L526" s="7"/>
      <c r="M526" s="8"/>
      <c r="O526" s="7"/>
      <c r="P526" s="7"/>
      <c r="Q526" s="7"/>
      <c r="R526" s="7"/>
      <c r="S526" s="7"/>
    </row>
    <row r="527" spans="2:19" ht="14.25" customHeight="1" x14ac:dyDescent="0.3">
      <c r="B527" s="12"/>
      <c r="F527" s="6"/>
      <c r="G527" s="6"/>
      <c r="H527" s="9"/>
      <c r="I527" s="9"/>
      <c r="J527" s="9"/>
      <c r="K527" s="7"/>
      <c r="L527" s="7"/>
      <c r="M527" s="8"/>
      <c r="O527" s="7"/>
      <c r="P527" s="7"/>
      <c r="Q527" s="7"/>
      <c r="R527" s="7"/>
      <c r="S527" s="7"/>
    </row>
    <row r="528" spans="2:19" ht="14.25" customHeight="1" x14ac:dyDescent="0.3">
      <c r="B528" s="12"/>
      <c r="F528" s="6"/>
      <c r="G528" s="6"/>
      <c r="H528" s="9"/>
      <c r="I528" s="9"/>
      <c r="J528" s="9"/>
      <c r="K528" s="7"/>
      <c r="L528" s="7"/>
      <c r="M528" s="8"/>
      <c r="O528" s="7"/>
      <c r="P528" s="7"/>
      <c r="Q528" s="7"/>
      <c r="R528" s="7"/>
      <c r="S528" s="7"/>
    </row>
    <row r="529" spans="2:19" ht="14.25" customHeight="1" x14ac:dyDescent="0.3">
      <c r="B529" s="12"/>
      <c r="F529" s="6"/>
      <c r="G529" s="6"/>
      <c r="H529" s="9"/>
      <c r="I529" s="9"/>
      <c r="J529" s="9"/>
      <c r="K529" s="7"/>
      <c r="L529" s="7"/>
      <c r="M529" s="8"/>
      <c r="O529" s="7"/>
      <c r="P529" s="7"/>
      <c r="Q529" s="7"/>
      <c r="R529" s="7"/>
      <c r="S529" s="7"/>
    </row>
    <row r="530" spans="2:19" ht="14.25" customHeight="1" x14ac:dyDescent="0.3">
      <c r="B530" s="12"/>
      <c r="F530" s="6"/>
      <c r="G530" s="6"/>
      <c r="H530" s="9"/>
      <c r="I530" s="9"/>
      <c r="J530" s="9"/>
      <c r="K530" s="7"/>
      <c r="L530" s="7"/>
      <c r="M530" s="8"/>
      <c r="O530" s="7"/>
      <c r="P530" s="7"/>
      <c r="Q530" s="7"/>
      <c r="R530" s="7"/>
      <c r="S530" s="7"/>
    </row>
    <row r="531" spans="2:19" ht="14.25" customHeight="1" x14ac:dyDescent="0.3">
      <c r="B531" s="12"/>
      <c r="F531" s="6"/>
      <c r="G531" s="6"/>
      <c r="H531" s="9"/>
      <c r="I531" s="9"/>
      <c r="J531" s="9"/>
      <c r="K531" s="7"/>
      <c r="L531" s="7"/>
      <c r="M531" s="8"/>
      <c r="O531" s="7"/>
      <c r="P531" s="7"/>
      <c r="Q531" s="7"/>
      <c r="R531" s="7"/>
      <c r="S531" s="7"/>
    </row>
    <row r="532" spans="2:19" ht="14.25" customHeight="1" x14ac:dyDescent="0.3">
      <c r="B532" s="12"/>
      <c r="F532" s="6"/>
      <c r="G532" s="6"/>
      <c r="H532" s="9"/>
      <c r="I532" s="9"/>
      <c r="J532" s="9"/>
      <c r="K532" s="7"/>
      <c r="L532" s="7"/>
      <c r="M532" s="8"/>
      <c r="O532" s="7"/>
      <c r="P532" s="7"/>
      <c r="Q532" s="7"/>
      <c r="R532" s="7"/>
      <c r="S532" s="7"/>
    </row>
    <row r="533" spans="2:19" ht="14.25" customHeight="1" x14ac:dyDescent="0.3">
      <c r="B533" s="12"/>
      <c r="F533" s="6"/>
      <c r="G533" s="6"/>
      <c r="H533" s="9"/>
      <c r="I533" s="9"/>
      <c r="J533" s="9"/>
      <c r="K533" s="7"/>
      <c r="L533" s="7"/>
      <c r="M533" s="8"/>
      <c r="O533" s="7"/>
      <c r="P533" s="7"/>
      <c r="Q533" s="7"/>
      <c r="R533" s="7"/>
      <c r="S533" s="7"/>
    </row>
    <row r="534" spans="2:19" ht="14.25" customHeight="1" x14ac:dyDescent="0.3">
      <c r="B534" s="12"/>
      <c r="F534" s="6"/>
      <c r="G534" s="6"/>
      <c r="H534" s="9"/>
      <c r="I534" s="9"/>
      <c r="J534" s="9"/>
      <c r="K534" s="7"/>
      <c r="L534" s="7"/>
      <c r="M534" s="8"/>
      <c r="O534" s="7"/>
      <c r="P534" s="7"/>
      <c r="Q534" s="7"/>
      <c r="R534" s="7"/>
      <c r="S534" s="7"/>
    </row>
    <row r="535" spans="2:19" ht="14.25" customHeight="1" x14ac:dyDescent="0.3">
      <c r="B535" s="12"/>
      <c r="F535" s="6"/>
      <c r="G535" s="6"/>
      <c r="H535" s="9"/>
      <c r="I535" s="9"/>
      <c r="J535" s="9"/>
      <c r="K535" s="7"/>
      <c r="L535" s="7"/>
      <c r="M535" s="8"/>
      <c r="O535" s="7"/>
      <c r="P535" s="7"/>
      <c r="Q535" s="7"/>
      <c r="R535" s="7"/>
      <c r="S535" s="7"/>
    </row>
    <row r="536" spans="2:19" ht="14.25" customHeight="1" x14ac:dyDescent="0.3">
      <c r="B536" s="12"/>
      <c r="F536" s="6"/>
      <c r="G536" s="6"/>
      <c r="H536" s="9"/>
      <c r="I536" s="9"/>
      <c r="J536" s="9"/>
      <c r="K536" s="7"/>
      <c r="L536" s="7"/>
      <c r="M536" s="8"/>
      <c r="O536" s="7"/>
      <c r="P536" s="7"/>
      <c r="Q536" s="7"/>
      <c r="R536" s="7"/>
      <c r="S536" s="7"/>
    </row>
    <row r="537" spans="2:19" ht="14.25" customHeight="1" x14ac:dyDescent="0.3">
      <c r="B537" s="12"/>
      <c r="F537" s="6"/>
      <c r="G537" s="6"/>
      <c r="H537" s="9"/>
      <c r="I537" s="9"/>
      <c r="J537" s="9"/>
      <c r="K537" s="7"/>
      <c r="L537" s="7"/>
      <c r="M537" s="8"/>
      <c r="O537" s="7"/>
      <c r="P537" s="7"/>
      <c r="Q537" s="7"/>
      <c r="R537" s="7"/>
      <c r="S537" s="7"/>
    </row>
    <row r="538" spans="2:19" ht="14.25" customHeight="1" x14ac:dyDescent="0.3">
      <c r="B538" s="12"/>
      <c r="F538" s="6"/>
      <c r="G538" s="6"/>
      <c r="H538" s="9"/>
      <c r="I538" s="9"/>
      <c r="J538" s="9"/>
      <c r="K538" s="7"/>
      <c r="L538" s="7"/>
      <c r="M538" s="8"/>
      <c r="O538" s="7"/>
      <c r="P538" s="7"/>
      <c r="Q538" s="7"/>
      <c r="R538" s="7"/>
      <c r="S538" s="7"/>
    </row>
    <row r="539" spans="2:19" ht="14.25" customHeight="1" x14ac:dyDescent="0.3">
      <c r="B539" s="12"/>
      <c r="F539" s="6"/>
      <c r="G539" s="6"/>
      <c r="H539" s="9"/>
      <c r="I539" s="9"/>
      <c r="J539" s="9"/>
      <c r="K539" s="7"/>
      <c r="L539" s="7"/>
      <c r="M539" s="8"/>
      <c r="O539" s="7"/>
      <c r="P539" s="7"/>
      <c r="Q539" s="7"/>
      <c r="R539" s="7"/>
      <c r="S539" s="7"/>
    </row>
    <row r="540" spans="2:19" ht="14.25" customHeight="1" x14ac:dyDescent="0.3">
      <c r="B540" s="12"/>
      <c r="F540" s="6"/>
      <c r="G540" s="6"/>
      <c r="H540" s="9"/>
      <c r="I540" s="9"/>
      <c r="J540" s="9"/>
      <c r="K540" s="7"/>
      <c r="L540" s="7"/>
      <c r="M540" s="8"/>
      <c r="O540" s="7"/>
      <c r="P540" s="7"/>
      <c r="Q540" s="7"/>
      <c r="R540" s="7"/>
      <c r="S540" s="7"/>
    </row>
    <row r="541" spans="2:19" ht="14.25" customHeight="1" x14ac:dyDescent="0.3">
      <c r="B541" s="12"/>
      <c r="F541" s="6"/>
      <c r="G541" s="6"/>
      <c r="H541" s="9"/>
      <c r="I541" s="9"/>
      <c r="J541" s="9"/>
      <c r="K541" s="7"/>
      <c r="L541" s="7"/>
      <c r="M541" s="8"/>
      <c r="O541" s="7"/>
      <c r="P541" s="7"/>
      <c r="Q541" s="7"/>
      <c r="R541" s="7"/>
      <c r="S541" s="7"/>
    </row>
    <row r="542" spans="2:19" ht="14.25" customHeight="1" x14ac:dyDescent="0.3">
      <c r="B542" s="12"/>
      <c r="F542" s="6"/>
      <c r="G542" s="6"/>
      <c r="H542" s="9"/>
      <c r="I542" s="9"/>
      <c r="J542" s="9"/>
      <c r="K542" s="7"/>
      <c r="L542" s="7"/>
      <c r="M542" s="8"/>
      <c r="O542" s="7"/>
      <c r="P542" s="7"/>
      <c r="Q542" s="7"/>
      <c r="R542" s="7"/>
      <c r="S542" s="7"/>
    </row>
    <row r="543" spans="2:19" ht="14.25" customHeight="1" x14ac:dyDescent="0.3">
      <c r="B543" s="12"/>
      <c r="F543" s="6"/>
      <c r="G543" s="6"/>
      <c r="H543" s="9"/>
      <c r="I543" s="9"/>
      <c r="J543" s="9"/>
      <c r="K543" s="7"/>
      <c r="L543" s="7"/>
      <c r="M543" s="8"/>
      <c r="O543" s="7"/>
      <c r="P543" s="7"/>
      <c r="Q543" s="7"/>
      <c r="R543" s="7"/>
      <c r="S543" s="7"/>
    </row>
    <row r="544" spans="2:19" ht="14.25" customHeight="1" x14ac:dyDescent="0.3">
      <c r="B544" s="12"/>
      <c r="F544" s="6"/>
      <c r="G544" s="6"/>
      <c r="H544" s="9"/>
      <c r="I544" s="9"/>
      <c r="J544" s="9"/>
      <c r="K544" s="7"/>
      <c r="L544" s="7"/>
      <c r="M544" s="8"/>
      <c r="O544" s="7"/>
      <c r="P544" s="7"/>
      <c r="Q544" s="7"/>
      <c r="R544" s="7"/>
      <c r="S544" s="7"/>
    </row>
    <row r="545" spans="2:19" ht="14.25" customHeight="1" x14ac:dyDescent="0.3">
      <c r="B545" s="12"/>
      <c r="F545" s="6"/>
      <c r="G545" s="6"/>
      <c r="H545" s="9"/>
      <c r="I545" s="9"/>
      <c r="J545" s="9"/>
      <c r="K545" s="7"/>
      <c r="L545" s="7"/>
      <c r="M545" s="8"/>
      <c r="O545" s="7"/>
      <c r="P545" s="7"/>
      <c r="Q545" s="7"/>
      <c r="R545" s="7"/>
      <c r="S545" s="7"/>
    </row>
    <row r="546" spans="2:19" ht="14.25" customHeight="1" x14ac:dyDescent="0.3">
      <c r="B546" s="12"/>
      <c r="F546" s="6"/>
      <c r="G546" s="6"/>
      <c r="H546" s="9"/>
      <c r="I546" s="9"/>
      <c r="J546" s="9"/>
      <c r="K546" s="7"/>
      <c r="L546" s="7"/>
      <c r="M546" s="8"/>
      <c r="O546" s="7"/>
      <c r="P546" s="7"/>
      <c r="Q546" s="7"/>
      <c r="R546" s="7"/>
      <c r="S546" s="7"/>
    </row>
    <row r="547" spans="2:19" ht="14.25" customHeight="1" x14ac:dyDescent="0.3">
      <c r="B547" s="12"/>
      <c r="F547" s="6"/>
      <c r="G547" s="6"/>
      <c r="H547" s="9"/>
      <c r="I547" s="9"/>
      <c r="J547" s="9"/>
      <c r="K547" s="7"/>
      <c r="L547" s="7"/>
      <c r="M547" s="8"/>
      <c r="O547" s="7"/>
      <c r="P547" s="7"/>
      <c r="Q547" s="7"/>
      <c r="R547" s="7"/>
      <c r="S547" s="7"/>
    </row>
    <row r="548" spans="2:19" ht="14.25" customHeight="1" x14ac:dyDescent="0.3">
      <c r="B548" s="12"/>
      <c r="F548" s="6"/>
      <c r="G548" s="6"/>
      <c r="H548" s="9"/>
      <c r="I548" s="9"/>
      <c r="J548" s="9"/>
      <c r="K548" s="7"/>
      <c r="L548" s="7"/>
      <c r="M548" s="8"/>
      <c r="O548" s="7"/>
      <c r="P548" s="7"/>
      <c r="Q548" s="7"/>
      <c r="R548" s="7"/>
      <c r="S548" s="7"/>
    </row>
    <row r="549" spans="2:19" ht="14.25" customHeight="1" x14ac:dyDescent="0.3">
      <c r="B549" s="12"/>
      <c r="F549" s="6"/>
      <c r="G549" s="6"/>
      <c r="H549" s="9"/>
      <c r="I549" s="9"/>
      <c r="J549" s="9"/>
      <c r="K549" s="7"/>
      <c r="L549" s="7"/>
      <c r="M549" s="8"/>
      <c r="O549" s="7"/>
      <c r="P549" s="7"/>
      <c r="Q549" s="7"/>
      <c r="R549" s="7"/>
      <c r="S549" s="7"/>
    </row>
    <row r="550" spans="2:19" ht="14.25" customHeight="1" x14ac:dyDescent="0.3">
      <c r="B550" s="12"/>
      <c r="F550" s="6"/>
      <c r="G550" s="6"/>
      <c r="H550" s="9"/>
      <c r="I550" s="9"/>
      <c r="J550" s="9"/>
      <c r="K550" s="7"/>
      <c r="L550" s="7"/>
      <c r="M550" s="8"/>
      <c r="O550" s="7"/>
      <c r="P550" s="7"/>
      <c r="Q550" s="7"/>
      <c r="R550" s="7"/>
      <c r="S550" s="7"/>
    </row>
    <row r="551" spans="2:19" ht="14.25" customHeight="1" x14ac:dyDescent="0.3">
      <c r="B551" s="12"/>
      <c r="F551" s="6"/>
      <c r="G551" s="6"/>
      <c r="H551" s="9"/>
      <c r="I551" s="9"/>
      <c r="J551" s="9"/>
      <c r="K551" s="7"/>
      <c r="L551" s="7"/>
      <c r="M551" s="8"/>
      <c r="O551" s="7"/>
      <c r="P551" s="7"/>
      <c r="Q551" s="7"/>
      <c r="R551" s="7"/>
      <c r="S551" s="7"/>
    </row>
    <row r="552" spans="2:19" ht="14.25" customHeight="1" x14ac:dyDescent="0.3">
      <c r="B552" s="12"/>
      <c r="F552" s="6"/>
      <c r="G552" s="6"/>
      <c r="H552" s="9"/>
      <c r="I552" s="9"/>
      <c r="J552" s="9"/>
      <c r="K552" s="7"/>
      <c r="L552" s="7"/>
      <c r="M552" s="8"/>
      <c r="O552" s="7"/>
      <c r="P552" s="7"/>
      <c r="Q552" s="7"/>
      <c r="R552" s="7"/>
      <c r="S552" s="7"/>
    </row>
    <row r="553" spans="2:19" ht="14.25" customHeight="1" x14ac:dyDescent="0.3">
      <c r="B553" s="12"/>
      <c r="F553" s="6"/>
      <c r="G553" s="6"/>
      <c r="H553" s="9"/>
      <c r="I553" s="9"/>
      <c r="J553" s="9"/>
      <c r="K553" s="7"/>
      <c r="L553" s="7"/>
      <c r="M553" s="8"/>
      <c r="O553" s="7"/>
      <c r="P553" s="7"/>
      <c r="Q553" s="7"/>
      <c r="R553" s="7"/>
      <c r="S553" s="7"/>
    </row>
    <row r="554" spans="2:19" ht="14.25" customHeight="1" x14ac:dyDescent="0.3">
      <c r="B554" s="12"/>
      <c r="F554" s="6"/>
      <c r="G554" s="6"/>
      <c r="H554" s="9"/>
      <c r="I554" s="9"/>
      <c r="J554" s="9"/>
      <c r="K554" s="7"/>
      <c r="L554" s="7"/>
      <c r="M554" s="8"/>
      <c r="O554" s="7"/>
      <c r="P554" s="7"/>
      <c r="Q554" s="7"/>
      <c r="R554" s="7"/>
      <c r="S554" s="7"/>
    </row>
    <row r="555" spans="2:19" ht="14.25" customHeight="1" x14ac:dyDescent="0.3">
      <c r="B555" s="12"/>
      <c r="F555" s="6"/>
      <c r="G555" s="6"/>
      <c r="H555" s="9"/>
      <c r="I555" s="9"/>
      <c r="J555" s="9"/>
      <c r="K555" s="7"/>
      <c r="L555" s="7"/>
      <c r="M555" s="8"/>
      <c r="O555" s="7"/>
      <c r="P555" s="7"/>
      <c r="Q555" s="7"/>
      <c r="R555" s="7"/>
      <c r="S555" s="7"/>
    </row>
    <row r="556" spans="2:19" ht="14.25" customHeight="1" x14ac:dyDescent="0.3">
      <c r="B556" s="12"/>
      <c r="F556" s="6"/>
      <c r="G556" s="6"/>
      <c r="H556" s="9"/>
      <c r="I556" s="9"/>
      <c r="J556" s="9"/>
      <c r="K556" s="7"/>
      <c r="L556" s="7"/>
      <c r="M556" s="8"/>
      <c r="O556" s="7"/>
      <c r="P556" s="7"/>
      <c r="Q556" s="7"/>
      <c r="R556" s="7"/>
      <c r="S556" s="7"/>
    </row>
    <row r="557" spans="2:19" ht="14.25" customHeight="1" x14ac:dyDescent="0.3">
      <c r="B557" s="12"/>
      <c r="F557" s="6"/>
      <c r="G557" s="6"/>
      <c r="H557" s="9"/>
      <c r="I557" s="9"/>
      <c r="J557" s="9"/>
      <c r="K557" s="7"/>
      <c r="L557" s="7"/>
      <c r="M557" s="8"/>
      <c r="O557" s="7"/>
      <c r="P557" s="7"/>
      <c r="Q557" s="7"/>
      <c r="R557" s="7"/>
      <c r="S557" s="7"/>
    </row>
    <row r="558" spans="2:19" ht="14.25" customHeight="1" x14ac:dyDescent="0.3">
      <c r="B558" s="12"/>
      <c r="F558" s="6"/>
      <c r="G558" s="6"/>
      <c r="H558" s="9"/>
      <c r="I558" s="9"/>
      <c r="J558" s="9"/>
      <c r="K558" s="7"/>
      <c r="L558" s="7"/>
      <c r="M558" s="8"/>
      <c r="O558" s="7"/>
      <c r="P558" s="7"/>
      <c r="Q558" s="7"/>
      <c r="R558" s="7"/>
      <c r="S558" s="7"/>
    </row>
    <row r="559" spans="2:19" ht="14.25" customHeight="1" x14ac:dyDescent="0.3">
      <c r="B559" s="12"/>
      <c r="F559" s="6"/>
      <c r="G559" s="6"/>
      <c r="H559" s="9"/>
      <c r="I559" s="9"/>
      <c r="J559" s="9"/>
      <c r="K559" s="7"/>
      <c r="L559" s="7"/>
      <c r="M559" s="8"/>
      <c r="O559" s="7"/>
      <c r="P559" s="7"/>
      <c r="Q559" s="7"/>
      <c r="R559" s="7"/>
      <c r="S559" s="7"/>
    </row>
    <row r="560" spans="2:19" ht="14.25" customHeight="1" x14ac:dyDescent="0.3">
      <c r="B560" s="12"/>
      <c r="F560" s="6"/>
      <c r="G560" s="6"/>
      <c r="H560" s="9"/>
      <c r="I560" s="9"/>
      <c r="J560" s="9"/>
      <c r="K560" s="7"/>
      <c r="L560" s="7"/>
      <c r="M560" s="8"/>
      <c r="O560" s="7"/>
      <c r="P560" s="7"/>
      <c r="Q560" s="7"/>
      <c r="R560" s="7"/>
      <c r="S560" s="7"/>
    </row>
    <row r="561" spans="2:19" ht="14.25" customHeight="1" x14ac:dyDescent="0.3">
      <c r="B561" s="12"/>
      <c r="F561" s="6"/>
      <c r="G561" s="6"/>
      <c r="H561" s="9"/>
      <c r="I561" s="9"/>
      <c r="J561" s="9"/>
      <c r="K561" s="7"/>
      <c r="L561" s="7"/>
      <c r="M561" s="8"/>
      <c r="O561" s="7"/>
      <c r="P561" s="7"/>
      <c r="Q561" s="7"/>
      <c r="R561" s="7"/>
      <c r="S561" s="7"/>
    </row>
    <row r="562" spans="2:19" ht="14.25" customHeight="1" x14ac:dyDescent="0.3">
      <c r="B562" s="12"/>
      <c r="F562" s="6"/>
      <c r="G562" s="6"/>
      <c r="H562" s="9"/>
      <c r="I562" s="9"/>
      <c r="J562" s="9"/>
      <c r="K562" s="7"/>
      <c r="L562" s="7"/>
      <c r="M562" s="8"/>
      <c r="O562" s="7"/>
      <c r="P562" s="7"/>
      <c r="Q562" s="7"/>
      <c r="R562" s="7"/>
      <c r="S562" s="7"/>
    </row>
    <row r="563" spans="2:19" ht="14.25" customHeight="1" x14ac:dyDescent="0.3">
      <c r="B563" s="12"/>
      <c r="F563" s="6"/>
      <c r="G563" s="6"/>
      <c r="H563" s="9"/>
      <c r="I563" s="9"/>
      <c r="J563" s="9"/>
      <c r="K563" s="7"/>
      <c r="L563" s="7"/>
      <c r="M563" s="8"/>
      <c r="O563" s="7"/>
      <c r="P563" s="7"/>
      <c r="Q563" s="7"/>
      <c r="R563" s="7"/>
      <c r="S563" s="7"/>
    </row>
    <row r="564" spans="2:19" ht="14.25" customHeight="1" x14ac:dyDescent="0.3">
      <c r="B564" s="12"/>
      <c r="F564" s="6"/>
      <c r="G564" s="6"/>
      <c r="H564" s="9"/>
      <c r="I564" s="9"/>
      <c r="J564" s="9"/>
      <c r="K564" s="7"/>
      <c r="L564" s="7"/>
      <c r="M564" s="8"/>
      <c r="O564" s="7"/>
      <c r="P564" s="7"/>
      <c r="Q564" s="7"/>
      <c r="R564" s="7"/>
      <c r="S564" s="7"/>
    </row>
    <row r="565" spans="2:19" ht="14.25" customHeight="1" x14ac:dyDescent="0.3">
      <c r="B565" s="12"/>
      <c r="F565" s="6"/>
      <c r="G565" s="6"/>
      <c r="H565" s="9"/>
      <c r="I565" s="9"/>
      <c r="J565" s="9"/>
      <c r="K565" s="7"/>
      <c r="L565" s="7"/>
      <c r="M565" s="8"/>
      <c r="O565" s="7"/>
      <c r="P565" s="7"/>
      <c r="Q565" s="7"/>
      <c r="R565" s="7"/>
      <c r="S565" s="7"/>
    </row>
    <row r="566" spans="2:19" ht="14.25" customHeight="1" x14ac:dyDescent="0.3">
      <c r="B566" s="12"/>
      <c r="F566" s="6"/>
      <c r="G566" s="6"/>
      <c r="H566" s="9"/>
      <c r="I566" s="9"/>
      <c r="J566" s="9"/>
      <c r="K566" s="7"/>
      <c r="L566" s="7"/>
      <c r="M566" s="8"/>
      <c r="O566" s="7"/>
      <c r="P566" s="7"/>
      <c r="Q566" s="7"/>
      <c r="R566" s="7"/>
      <c r="S566" s="7"/>
    </row>
    <row r="567" spans="2:19" ht="14.25" customHeight="1" x14ac:dyDescent="0.3">
      <c r="B567" s="12"/>
      <c r="F567" s="6"/>
      <c r="G567" s="6"/>
      <c r="H567" s="9"/>
      <c r="I567" s="9"/>
      <c r="J567" s="9"/>
      <c r="K567" s="7"/>
      <c r="L567" s="7"/>
      <c r="M567" s="8"/>
      <c r="O567" s="7"/>
      <c r="P567" s="7"/>
      <c r="Q567" s="7"/>
      <c r="R567" s="7"/>
      <c r="S567" s="7"/>
    </row>
    <row r="568" spans="2:19" ht="14.25" customHeight="1" x14ac:dyDescent="0.3">
      <c r="B568" s="12"/>
      <c r="F568" s="6"/>
      <c r="G568" s="6"/>
      <c r="H568" s="9"/>
      <c r="I568" s="9"/>
      <c r="J568" s="9"/>
      <c r="K568" s="7"/>
      <c r="L568" s="7"/>
      <c r="M568" s="8"/>
      <c r="O568" s="7"/>
      <c r="P568" s="7"/>
      <c r="Q568" s="7"/>
      <c r="R568" s="7"/>
      <c r="S568" s="7"/>
    </row>
    <row r="569" spans="2:19" ht="14.25" customHeight="1" x14ac:dyDescent="0.3">
      <c r="B569" s="12"/>
      <c r="F569" s="6"/>
      <c r="G569" s="6"/>
      <c r="H569" s="9"/>
      <c r="I569" s="9"/>
      <c r="J569" s="9"/>
      <c r="K569" s="7"/>
      <c r="L569" s="7"/>
      <c r="M569" s="8"/>
      <c r="O569" s="7"/>
      <c r="P569" s="7"/>
      <c r="Q569" s="7"/>
      <c r="R569" s="7"/>
      <c r="S569" s="7"/>
    </row>
    <row r="570" spans="2:19" ht="14.25" customHeight="1" x14ac:dyDescent="0.3">
      <c r="B570" s="12"/>
      <c r="F570" s="6"/>
      <c r="G570" s="6"/>
      <c r="H570" s="9"/>
      <c r="I570" s="9"/>
      <c r="J570" s="9"/>
      <c r="K570" s="7"/>
      <c r="L570" s="7"/>
      <c r="M570" s="8"/>
      <c r="O570" s="7"/>
      <c r="P570" s="7"/>
      <c r="Q570" s="7"/>
      <c r="R570" s="7"/>
      <c r="S570" s="7"/>
    </row>
    <row r="571" spans="2:19" ht="14.25" customHeight="1" x14ac:dyDescent="0.3">
      <c r="B571" s="12"/>
      <c r="F571" s="6"/>
      <c r="G571" s="6"/>
      <c r="H571" s="9"/>
      <c r="I571" s="9"/>
      <c r="J571" s="9"/>
      <c r="K571" s="7"/>
      <c r="L571" s="7"/>
      <c r="M571" s="8"/>
      <c r="O571" s="7"/>
      <c r="P571" s="7"/>
      <c r="Q571" s="7"/>
      <c r="R571" s="7"/>
      <c r="S571" s="7"/>
    </row>
    <row r="572" spans="2:19" ht="14.25" customHeight="1" x14ac:dyDescent="0.3">
      <c r="B572" s="12"/>
      <c r="F572" s="6"/>
      <c r="G572" s="6"/>
      <c r="H572" s="9"/>
      <c r="I572" s="9"/>
      <c r="J572" s="9"/>
      <c r="K572" s="7"/>
      <c r="L572" s="7"/>
      <c r="M572" s="8"/>
      <c r="O572" s="7"/>
      <c r="P572" s="7"/>
      <c r="Q572" s="7"/>
      <c r="R572" s="7"/>
      <c r="S572" s="7"/>
    </row>
    <row r="573" spans="2:19" ht="14.25" customHeight="1" x14ac:dyDescent="0.3">
      <c r="B573" s="12"/>
      <c r="F573" s="6"/>
      <c r="G573" s="6"/>
      <c r="H573" s="9"/>
      <c r="I573" s="9"/>
      <c r="J573" s="9"/>
      <c r="K573" s="7"/>
      <c r="L573" s="7"/>
      <c r="M573" s="8"/>
      <c r="O573" s="7"/>
      <c r="P573" s="7"/>
      <c r="Q573" s="7"/>
      <c r="R573" s="7"/>
      <c r="S573" s="7"/>
    </row>
    <row r="574" spans="2:19" ht="14.25" customHeight="1" x14ac:dyDescent="0.3">
      <c r="B574" s="12"/>
      <c r="F574" s="6"/>
      <c r="G574" s="6"/>
      <c r="H574" s="9"/>
      <c r="I574" s="9"/>
      <c r="J574" s="9"/>
      <c r="K574" s="7"/>
      <c r="L574" s="7"/>
      <c r="M574" s="8"/>
      <c r="O574" s="7"/>
      <c r="P574" s="7"/>
      <c r="Q574" s="7"/>
      <c r="R574" s="7"/>
      <c r="S574" s="7"/>
    </row>
    <row r="575" spans="2:19" ht="14.25" customHeight="1" x14ac:dyDescent="0.3">
      <c r="B575" s="12"/>
      <c r="F575" s="6"/>
      <c r="G575" s="6"/>
      <c r="H575" s="9"/>
      <c r="I575" s="9"/>
      <c r="J575" s="9"/>
      <c r="K575" s="7"/>
      <c r="L575" s="7"/>
      <c r="M575" s="8"/>
      <c r="O575" s="7"/>
      <c r="P575" s="7"/>
      <c r="Q575" s="7"/>
      <c r="R575" s="7"/>
      <c r="S575" s="7"/>
    </row>
    <row r="576" spans="2:19" ht="14.25" customHeight="1" x14ac:dyDescent="0.3">
      <c r="B576" s="12"/>
      <c r="F576" s="6"/>
      <c r="G576" s="6"/>
      <c r="H576" s="9"/>
      <c r="I576" s="9"/>
      <c r="J576" s="9"/>
      <c r="K576" s="7"/>
      <c r="L576" s="7"/>
      <c r="M576" s="8"/>
      <c r="O576" s="7"/>
      <c r="P576" s="7"/>
      <c r="Q576" s="7"/>
      <c r="R576" s="7"/>
      <c r="S576" s="7"/>
    </row>
    <row r="577" spans="2:19" ht="14.25" customHeight="1" x14ac:dyDescent="0.3">
      <c r="B577" s="12"/>
      <c r="F577" s="6"/>
      <c r="G577" s="6"/>
      <c r="H577" s="9"/>
      <c r="I577" s="9"/>
      <c r="J577" s="9"/>
      <c r="K577" s="7"/>
      <c r="L577" s="7"/>
      <c r="M577" s="8"/>
      <c r="O577" s="7"/>
      <c r="P577" s="7"/>
      <c r="Q577" s="7"/>
      <c r="R577" s="7"/>
      <c r="S577" s="7"/>
    </row>
    <row r="578" spans="2:19" ht="14.25" customHeight="1" x14ac:dyDescent="0.3">
      <c r="B578" s="12"/>
      <c r="F578" s="6"/>
      <c r="G578" s="6"/>
      <c r="H578" s="9"/>
      <c r="I578" s="9"/>
      <c r="J578" s="9"/>
      <c r="K578" s="7"/>
      <c r="L578" s="7"/>
      <c r="M578" s="8"/>
      <c r="O578" s="7"/>
      <c r="P578" s="7"/>
      <c r="Q578" s="7"/>
      <c r="R578" s="7"/>
      <c r="S578" s="7"/>
    </row>
    <row r="579" spans="2:19" ht="14.25" customHeight="1" x14ac:dyDescent="0.3">
      <c r="B579" s="12"/>
      <c r="F579" s="6"/>
      <c r="G579" s="6"/>
      <c r="H579" s="9"/>
      <c r="I579" s="9"/>
      <c r="J579" s="9"/>
      <c r="K579" s="7"/>
      <c r="L579" s="7"/>
      <c r="M579" s="8"/>
      <c r="O579" s="7"/>
      <c r="P579" s="7"/>
      <c r="Q579" s="7"/>
      <c r="R579" s="7"/>
      <c r="S579" s="7"/>
    </row>
    <row r="580" spans="2:19" ht="14.25" customHeight="1" x14ac:dyDescent="0.3">
      <c r="B580" s="12"/>
      <c r="F580" s="6"/>
      <c r="G580" s="6"/>
      <c r="H580" s="9"/>
      <c r="I580" s="9"/>
      <c r="J580" s="9"/>
      <c r="K580" s="7"/>
      <c r="L580" s="7"/>
      <c r="M580" s="8"/>
      <c r="O580" s="7"/>
      <c r="P580" s="7"/>
      <c r="Q580" s="7"/>
      <c r="R580" s="7"/>
      <c r="S580" s="7"/>
    </row>
    <row r="581" spans="2:19" ht="14.25" customHeight="1" x14ac:dyDescent="0.3">
      <c r="B581" s="12"/>
      <c r="F581" s="6"/>
      <c r="G581" s="6"/>
      <c r="H581" s="9"/>
      <c r="I581" s="9"/>
      <c r="J581" s="9"/>
      <c r="K581" s="7"/>
      <c r="L581" s="7"/>
      <c r="M581" s="8"/>
      <c r="O581" s="7"/>
      <c r="P581" s="7"/>
      <c r="Q581" s="7"/>
      <c r="R581" s="7"/>
      <c r="S581" s="7"/>
    </row>
    <row r="582" spans="2:19" ht="14.25" customHeight="1" x14ac:dyDescent="0.3">
      <c r="B582" s="12"/>
      <c r="F582" s="6"/>
      <c r="G582" s="6"/>
      <c r="H582" s="9"/>
      <c r="I582" s="9"/>
      <c r="J582" s="9"/>
      <c r="K582" s="7"/>
      <c r="L582" s="7"/>
      <c r="M582" s="8"/>
      <c r="O582" s="7"/>
      <c r="P582" s="7"/>
      <c r="Q582" s="7"/>
      <c r="R582" s="7"/>
      <c r="S582" s="7"/>
    </row>
    <row r="583" spans="2:19" ht="14.25" customHeight="1" x14ac:dyDescent="0.3">
      <c r="B583" s="12"/>
      <c r="F583" s="6"/>
      <c r="G583" s="6"/>
      <c r="H583" s="9"/>
      <c r="I583" s="9"/>
      <c r="J583" s="9"/>
      <c r="K583" s="7"/>
      <c r="L583" s="7"/>
      <c r="M583" s="8"/>
      <c r="O583" s="7"/>
      <c r="P583" s="7"/>
      <c r="Q583" s="7"/>
      <c r="R583" s="7"/>
      <c r="S583" s="7"/>
    </row>
    <row r="584" spans="2:19" ht="14.25" customHeight="1" x14ac:dyDescent="0.3">
      <c r="B584" s="12"/>
      <c r="F584" s="6"/>
      <c r="G584" s="6"/>
      <c r="H584" s="9"/>
      <c r="I584" s="9"/>
      <c r="J584" s="9"/>
      <c r="K584" s="7"/>
      <c r="L584" s="7"/>
      <c r="M584" s="8"/>
      <c r="O584" s="7"/>
      <c r="P584" s="7"/>
      <c r="Q584" s="7"/>
      <c r="R584" s="7"/>
      <c r="S584" s="7"/>
    </row>
    <row r="585" spans="2:19" ht="14.25" customHeight="1" x14ac:dyDescent="0.3">
      <c r="B585" s="12"/>
      <c r="F585" s="6"/>
      <c r="G585" s="6"/>
      <c r="H585" s="9"/>
      <c r="I585" s="9"/>
      <c r="J585" s="9"/>
      <c r="K585" s="7"/>
      <c r="L585" s="7"/>
      <c r="M585" s="8"/>
      <c r="O585" s="7"/>
      <c r="P585" s="7"/>
      <c r="Q585" s="7"/>
      <c r="R585" s="7"/>
      <c r="S585" s="7"/>
    </row>
    <row r="586" spans="2:19" ht="14.25" customHeight="1" x14ac:dyDescent="0.3">
      <c r="B586" s="12"/>
      <c r="F586" s="6"/>
      <c r="G586" s="6"/>
      <c r="H586" s="9"/>
      <c r="I586" s="9"/>
      <c r="J586" s="9"/>
      <c r="K586" s="7"/>
      <c r="L586" s="7"/>
      <c r="M586" s="8"/>
      <c r="O586" s="7"/>
      <c r="P586" s="7"/>
      <c r="Q586" s="7"/>
      <c r="R586" s="7"/>
      <c r="S586" s="7"/>
    </row>
    <row r="587" spans="2:19" ht="14.25" customHeight="1" x14ac:dyDescent="0.3">
      <c r="B587" s="12"/>
      <c r="F587" s="6"/>
      <c r="G587" s="6"/>
      <c r="H587" s="9"/>
      <c r="I587" s="9"/>
      <c r="J587" s="9"/>
      <c r="K587" s="7"/>
      <c r="L587" s="7"/>
      <c r="M587" s="8"/>
      <c r="O587" s="7"/>
      <c r="P587" s="7"/>
      <c r="Q587" s="7"/>
      <c r="R587" s="7"/>
      <c r="S587" s="7"/>
    </row>
    <row r="588" spans="2:19" ht="14.25" customHeight="1" x14ac:dyDescent="0.3">
      <c r="B588" s="12"/>
      <c r="F588" s="6"/>
      <c r="G588" s="6"/>
      <c r="H588" s="9"/>
      <c r="I588" s="9"/>
      <c r="J588" s="9"/>
      <c r="K588" s="7"/>
      <c r="L588" s="7"/>
      <c r="M588" s="8"/>
      <c r="O588" s="7"/>
      <c r="P588" s="7"/>
      <c r="Q588" s="7"/>
      <c r="R588" s="7"/>
      <c r="S588" s="7"/>
    </row>
    <row r="589" spans="2:19" ht="14.25" customHeight="1" x14ac:dyDescent="0.3">
      <c r="B589" s="12"/>
      <c r="F589" s="6"/>
      <c r="G589" s="6"/>
      <c r="H589" s="9"/>
      <c r="I589" s="9"/>
      <c r="J589" s="9"/>
      <c r="K589" s="7"/>
      <c r="L589" s="7"/>
      <c r="M589" s="8"/>
      <c r="O589" s="7"/>
      <c r="P589" s="7"/>
      <c r="Q589" s="7"/>
      <c r="R589" s="7"/>
      <c r="S589" s="7"/>
    </row>
    <row r="590" spans="2:19" ht="14.25" customHeight="1" x14ac:dyDescent="0.3">
      <c r="B590" s="12"/>
      <c r="F590" s="6"/>
      <c r="G590" s="6"/>
      <c r="H590" s="9"/>
      <c r="I590" s="9"/>
      <c r="J590" s="9"/>
      <c r="K590" s="7"/>
      <c r="L590" s="7"/>
      <c r="M590" s="8"/>
      <c r="O590" s="7"/>
      <c r="P590" s="7"/>
      <c r="Q590" s="7"/>
      <c r="R590" s="7"/>
      <c r="S590" s="7"/>
    </row>
    <row r="591" spans="2:19" ht="14.25" customHeight="1" x14ac:dyDescent="0.3">
      <c r="B591" s="12"/>
      <c r="F591" s="6"/>
      <c r="G591" s="6"/>
      <c r="H591" s="9"/>
      <c r="I591" s="9"/>
      <c r="J591" s="9"/>
      <c r="K591" s="7"/>
      <c r="L591" s="7"/>
      <c r="M591" s="8"/>
      <c r="O591" s="7"/>
      <c r="P591" s="7"/>
      <c r="Q591" s="7"/>
      <c r="R591" s="7"/>
      <c r="S591" s="7"/>
    </row>
    <row r="592" spans="2:19" ht="14.25" customHeight="1" x14ac:dyDescent="0.3">
      <c r="B592" s="12"/>
      <c r="F592" s="6"/>
      <c r="G592" s="6"/>
      <c r="H592" s="9"/>
      <c r="I592" s="9"/>
      <c r="J592" s="9"/>
      <c r="K592" s="7"/>
      <c r="L592" s="7"/>
      <c r="M592" s="8"/>
      <c r="O592" s="7"/>
      <c r="P592" s="7"/>
      <c r="Q592" s="7"/>
      <c r="R592" s="7"/>
      <c r="S592" s="7"/>
    </row>
    <row r="593" spans="2:19" ht="14.25" customHeight="1" x14ac:dyDescent="0.3">
      <c r="B593" s="12"/>
      <c r="F593" s="6"/>
      <c r="G593" s="6"/>
      <c r="H593" s="9"/>
      <c r="I593" s="9"/>
      <c r="J593" s="9"/>
      <c r="K593" s="7"/>
      <c r="L593" s="7"/>
      <c r="M593" s="8"/>
      <c r="O593" s="7"/>
      <c r="P593" s="7"/>
      <c r="Q593" s="7"/>
      <c r="R593" s="7"/>
      <c r="S593" s="7"/>
    </row>
    <row r="594" spans="2:19" ht="14.25" customHeight="1" x14ac:dyDescent="0.3">
      <c r="B594" s="12"/>
      <c r="F594" s="6"/>
      <c r="G594" s="6"/>
      <c r="H594" s="9"/>
      <c r="I594" s="9"/>
      <c r="J594" s="9"/>
      <c r="K594" s="7"/>
      <c r="L594" s="7"/>
      <c r="M594" s="8"/>
      <c r="O594" s="7"/>
      <c r="P594" s="7"/>
      <c r="Q594" s="7"/>
      <c r="R594" s="7"/>
      <c r="S594" s="7"/>
    </row>
    <row r="595" spans="2:19" ht="14.25" customHeight="1" x14ac:dyDescent="0.3">
      <c r="B595" s="12"/>
      <c r="F595" s="6"/>
      <c r="G595" s="6"/>
      <c r="H595" s="9"/>
      <c r="I595" s="9"/>
      <c r="J595" s="9"/>
      <c r="K595" s="7"/>
      <c r="L595" s="7"/>
      <c r="M595" s="8"/>
      <c r="O595" s="7"/>
      <c r="P595" s="7"/>
      <c r="Q595" s="7"/>
      <c r="R595" s="7"/>
      <c r="S595" s="7"/>
    </row>
    <row r="596" spans="2:19" ht="14.25" customHeight="1" x14ac:dyDescent="0.3">
      <c r="B596" s="12"/>
      <c r="F596" s="6"/>
      <c r="G596" s="6"/>
      <c r="H596" s="9"/>
      <c r="I596" s="9"/>
      <c r="J596" s="9"/>
      <c r="K596" s="7"/>
      <c r="L596" s="7"/>
      <c r="M596" s="8"/>
      <c r="O596" s="7"/>
      <c r="P596" s="7"/>
      <c r="Q596" s="7"/>
      <c r="R596" s="7"/>
      <c r="S596" s="7"/>
    </row>
    <row r="597" spans="2:19" ht="14.25" customHeight="1" x14ac:dyDescent="0.3">
      <c r="B597" s="12"/>
      <c r="F597" s="6"/>
      <c r="G597" s="6"/>
      <c r="H597" s="9"/>
      <c r="I597" s="9"/>
      <c r="J597" s="9"/>
      <c r="K597" s="7"/>
      <c r="L597" s="7"/>
      <c r="M597" s="8"/>
      <c r="O597" s="7"/>
      <c r="P597" s="7"/>
      <c r="Q597" s="7"/>
      <c r="R597" s="7"/>
      <c r="S597" s="7"/>
    </row>
    <row r="598" spans="2:19" ht="14.25" customHeight="1" x14ac:dyDescent="0.3">
      <c r="B598" s="12"/>
      <c r="F598" s="6"/>
      <c r="G598" s="6"/>
      <c r="H598" s="9"/>
      <c r="I598" s="9"/>
      <c r="J598" s="9"/>
      <c r="K598" s="7"/>
      <c r="L598" s="7"/>
      <c r="M598" s="8"/>
      <c r="O598" s="7"/>
      <c r="P598" s="7"/>
      <c r="Q598" s="7"/>
      <c r="R598" s="7"/>
      <c r="S598" s="7"/>
    </row>
    <row r="599" spans="2:19" ht="14.25" customHeight="1" x14ac:dyDescent="0.3">
      <c r="B599" s="12"/>
      <c r="F599" s="6"/>
      <c r="G599" s="6"/>
      <c r="H599" s="9"/>
      <c r="I599" s="9"/>
      <c r="J599" s="9"/>
      <c r="K599" s="7"/>
      <c r="L599" s="7"/>
      <c r="M599" s="8"/>
      <c r="O599" s="7"/>
      <c r="P599" s="7"/>
      <c r="Q599" s="7"/>
      <c r="R599" s="7"/>
      <c r="S599" s="7"/>
    </row>
    <row r="600" spans="2:19" ht="14.25" customHeight="1" x14ac:dyDescent="0.3">
      <c r="B600" s="12"/>
      <c r="F600" s="6"/>
      <c r="G600" s="6"/>
      <c r="H600" s="9"/>
      <c r="I600" s="9"/>
      <c r="J600" s="9"/>
      <c r="K600" s="7"/>
      <c r="L600" s="7"/>
      <c r="M600" s="8"/>
      <c r="O600" s="7"/>
      <c r="P600" s="7"/>
      <c r="Q600" s="7"/>
      <c r="R600" s="7"/>
      <c r="S600" s="7"/>
    </row>
    <row r="601" spans="2:19" ht="14.25" customHeight="1" x14ac:dyDescent="0.3">
      <c r="B601" s="12"/>
      <c r="F601" s="6"/>
      <c r="G601" s="6"/>
      <c r="H601" s="9"/>
      <c r="I601" s="9"/>
      <c r="J601" s="9"/>
      <c r="K601" s="7"/>
      <c r="L601" s="7"/>
      <c r="M601" s="8"/>
      <c r="O601" s="7"/>
      <c r="P601" s="7"/>
      <c r="Q601" s="7"/>
      <c r="R601" s="7"/>
      <c r="S601" s="7"/>
    </row>
    <row r="602" spans="2:19" ht="14.25" customHeight="1" x14ac:dyDescent="0.3">
      <c r="B602" s="12"/>
      <c r="F602" s="6"/>
      <c r="G602" s="6"/>
      <c r="H602" s="9"/>
      <c r="I602" s="9"/>
      <c r="J602" s="9"/>
      <c r="K602" s="7"/>
      <c r="L602" s="7"/>
      <c r="M602" s="8"/>
      <c r="O602" s="7"/>
      <c r="P602" s="7"/>
      <c r="Q602" s="7"/>
      <c r="R602" s="7"/>
      <c r="S602" s="7"/>
    </row>
    <row r="603" spans="2:19" ht="14.25" customHeight="1" x14ac:dyDescent="0.3">
      <c r="B603" s="12"/>
      <c r="F603" s="6"/>
      <c r="G603" s="6"/>
      <c r="H603" s="9"/>
      <c r="I603" s="9"/>
      <c r="J603" s="9"/>
      <c r="K603" s="7"/>
      <c r="L603" s="7"/>
      <c r="M603" s="8"/>
      <c r="O603" s="7"/>
      <c r="P603" s="7"/>
      <c r="Q603" s="7"/>
      <c r="R603" s="7"/>
      <c r="S603" s="7"/>
    </row>
    <row r="604" spans="2:19" ht="14.25" customHeight="1" x14ac:dyDescent="0.3">
      <c r="B604" s="12"/>
      <c r="F604" s="6"/>
      <c r="G604" s="6"/>
      <c r="H604" s="9"/>
      <c r="I604" s="9"/>
      <c r="J604" s="9"/>
      <c r="K604" s="7"/>
      <c r="L604" s="7"/>
      <c r="M604" s="8"/>
      <c r="O604" s="7"/>
      <c r="P604" s="7"/>
      <c r="Q604" s="7"/>
      <c r="R604" s="7"/>
      <c r="S604" s="7"/>
    </row>
    <row r="605" spans="2:19" ht="14.25" customHeight="1" x14ac:dyDescent="0.3">
      <c r="B605" s="12"/>
      <c r="F605" s="6"/>
      <c r="G605" s="6"/>
      <c r="H605" s="9"/>
      <c r="I605" s="9"/>
      <c r="J605" s="9"/>
      <c r="K605" s="7"/>
      <c r="L605" s="7"/>
      <c r="M605" s="8"/>
      <c r="O605" s="7"/>
      <c r="P605" s="7"/>
      <c r="Q605" s="7"/>
      <c r="R605" s="7"/>
      <c r="S605" s="7"/>
    </row>
    <row r="606" spans="2:19" ht="14.25" customHeight="1" x14ac:dyDescent="0.3">
      <c r="B606" s="12"/>
      <c r="F606" s="6"/>
      <c r="G606" s="6"/>
      <c r="H606" s="9"/>
      <c r="I606" s="9"/>
      <c r="J606" s="9"/>
      <c r="K606" s="7"/>
      <c r="L606" s="7"/>
      <c r="M606" s="8"/>
      <c r="O606" s="7"/>
      <c r="P606" s="7"/>
      <c r="Q606" s="7"/>
      <c r="R606" s="7"/>
      <c r="S606" s="7"/>
    </row>
    <row r="607" spans="2:19" ht="14.25" customHeight="1" x14ac:dyDescent="0.3">
      <c r="B607" s="12"/>
      <c r="F607" s="6"/>
      <c r="G607" s="6"/>
      <c r="H607" s="9"/>
      <c r="I607" s="9"/>
      <c r="J607" s="9"/>
      <c r="K607" s="7"/>
      <c r="L607" s="7"/>
      <c r="M607" s="8"/>
      <c r="O607" s="7"/>
      <c r="P607" s="7"/>
      <c r="Q607" s="7"/>
      <c r="R607" s="7"/>
      <c r="S607" s="7"/>
    </row>
    <row r="608" spans="2:19" ht="14.25" customHeight="1" x14ac:dyDescent="0.3">
      <c r="B608" s="12"/>
      <c r="F608" s="6"/>
      <c r="G608" s="6"/>
      <c r="H608" s="9"/>
      <c r="I608" s="9"/>
      <c r="J608" s="9"/>
      <c r="K608" s="7"/>
      <c r="L608" s="7"/>
      <c r="M608" s="8"/>
      <c r="O608" s="7"/>
      <c r="P608" s="7"/>
      <c r="Q608" s="7"/>
      <c r="R608" s="7"/>
      <c r="S608" s="7"/>
    </row>
    <row r="609" spans="2:19" ht="14.25" customHeight="1" x14ac:dyDescent="0.3">
      <c r="B609" s="12"/>
      <c r="F609" s="6"/>
      <c r="G609" s="6"/>
      <c r="H609" s="9"/>
      <c r="I609" s="9"/>
      <c r="J609" s="9"/>
      <c r="K609" s="7"/>
      <c r="L609" s="7"/>
      <c r="M609" s="8"/>
      <c r="O609" s="7"/>
      <c r="P609" s="7"/>
      <c r="Q609" s="7"/>
      <c r="R609" s="7"/>
      <c r="S609" s="7"/>
    </row>
    <row r="610" spans="2:19" ht="14.25" customHeight="1" x14ac:dyDescent="0.3">
      <c r="B610" s="12"/>
      <c r="F610" s="6"/>
      <c r="G610" s="6"/>
      <c r="H610" s="9"/>
      <c r="I610" s="9"/>
      <c r="J610" s="9"/>
      <c r="K610" s="7"/>
      <c r="L610" s="7"/>
      <c r="M610" s="8"/>
      <c r="O610" s="7"/>
      <c r="P610" s="7"/>
      <c r="Q610" s="7"/>
      <c r="R610" s="7"/>
      <c r="S610" s="7"/>
    </row>
    <row r="611" spans="2:19" ht="14.25" customHeight="1" x14ac:dyDescent="0.3">
      <c r="B611" s="12"/>
      <c r="F611" s="6"/>
      <c r="G611" s="6"/>
      <c r="H611" s="9"/>
      <c r="I611" s="9"/>
      <c r="J611" s="9"/>
      <c r="K611" s="7"/>
      <c r="L611" s="7"/>
      <c r="M611" s="8"/>
      <c r="O611" s="7"/>
      <c r="P611" s="7"/>
      <c r="Q611" s="7"/>
      <c r="R611" s="7"/>
      <c r="S611" s="7"/>
    </row>
    <row r="612" spans="2:19" ht="14.25" customHeight="1" x14ac:dyDescent="0.3">
      <c r="B612" s="12"/>
      <c r="F612" s="6"/>
      <c r="G612" s="6"/>
      <c r="H612" s="9"/>
      <c r="I612" s="9"/>
      <c r="J612" s="9"/>
      <c r="K612" s="7"/>
      <c r="L612" s="7"/>
      <c r="M612" s="8"/>
      <c r="O612" s="7"/>
      <c r="P612" s="7"/>
      <c r="Q612" s="7"/>
      <c r="R612" s="7"/>
      <c r="S612" s="7"/>
    </row>
    <row r="613" spans="2:19" ht="14.25" customHeight="1" x14ac:dyDescent="0.3">
      <c r="B613" s="12"/>
      <c r="F613" s="6"/>
      <c r="G613" s="6"/>
      <c r="H613" s="9"/>
      <c r="I613" s="9"/>
      <c r="J613" s="9"/>
      <c r="K613" s="7"/>
      <c r="L613" s="7"/>
      <c r="M613" s="8"/>
      <c r="O613" s="7"/>
      <c r="P613" s="7"/>
      <c r="Q613" s="7"/>
      <c r="R613" s="7"/>
      <c r="S613" s="7"/>
    </row>
    <row r="614" spans="2:19" ht="14.25" customHeight="1" x14ac:dyDescent="0.3">
      <c r="B614" s="12"/>
      <c r="F614" s="6"/>
      <c r="G614" s="6"/>
      <c r="H614" s="9"/>
      <c r="I614" s="9"/>
      <c r="J614" s="9"/>
      <c r="K614" s="7"/>
      <c r="L614" s="7"/>
      <c r="M614" s="8"/>
      <c r="O614" s="7"/>
      <c r="P614" s="7"/>
      <c r="Q614" s="7"/>
      <c r="R614" s="7"/>
      <c r="S614" s="7"/>
    </row>
    <row r="615" spans="2:19" ht="14.25" customHeight="1" x14ac:dyDescent="0.3">
      <c r="B615" s="12"/>
      <c r="F615" s="6"/>
      <c r="G615" s="6"/>
      <c r="H615" s="9"/>
      <c r="I615" s="9"/>
      <c r="J615" s="9"/>
      <c r="K615" s="7"/>
      <c r="L615" s="7"/>
      <c r="M615" s="8"/>
      <c r="O615" s="7"/>
      <c r="P615" s="7"/>
      <c r="Q615" s="7"/>
      <c r="R615" s="7"/>
      <c r="S615" s="7"/>
    </row>
    <row r="616" spans="2:19" ht="14.25" customHeight="1" x14ac:dyDescent="0.3">
      <c r="B616" s="12"/>
      <c r="F616" s="6"/>
      <c r="G616" s="6"/>
      <c r="H616" s="9"/>
      <c r="I616" s="9"/>
      <c r="J616" s="9"/>
      <c r="K616" s="7"/>
      <c r="L616" s="7"/>
      <c r="M616" s="8"/>
      <c r="O616" s="7"/>
      <c r="P616" s="7"/>
      <c r="Q616" s="7"/>
      <c r="R616" s="7"/>
      <c r="S616" s="7"/>
    </row>
    <row r="617" spans="2:19" ht="14.25" customHeight="1" x14ac:dyDescent="0.3">
      <c r="B617" s="12"/>
      <c r="F617" s="6"/>
      <c r="G617" s="6"/>
      <c r="H617" s="9"/>
      <c r="I617" s="9"/>
      <c r="J617" s="9"/>
      <c r="K617" s="7"/>
      <c r="L617" s="7"/>
      <c r="M617" s="8"/>
      <c r="O617" s="7"/>
      <c r="P617" s="7"/>
      <c r="Q617" s="7"/>
      <c r="R617" s="7"/>
      <c r="S617" s="7"/>
    </row>
    <row r="618" spans="2:19" ht="14.25" customHeight="1" x14ac:dyDescent="0.3">
      <c r="B618" s="12"/>
      <c r="F618" s="6"/>
      <c r="G618" s="6"/>
      <c r="H618" s="9"/>
      <c r="I618" s="9"/>
      <c r="J618" s="9"/>
      <c r="K618" s="7"/>
      <c r="L618" s="7"/>
      <c r="M618" s="8"/>
      <c r="O618" s="7"/>
      <c r="P618" s="7"/>
      <c r="Q618" s="7"/>
      <c r="R618" s="7"/>
      <c r="S618" s="7"/>
    </row>
    <row r="619" spans="2:19" ht="14.25" customHeight="1" x14ac:dyDescent="0.3">
      <c r="B619" s="12"/>
      <c r="F619" s="6"/>
      <c r="G619" s="6"/>
      <c r="H619" s="9"/>
      <c r="I619" s="9"/>
      <c r="J619" s="9"/>
      <c r="K619" s="7"/>
      <c r="L619" s="7"/>
      <c r="M619" s="8"/>
      <c r="O619" s="7"/>
      <c r="P619" s="7"/>
      <c r="Q619" s="7"/>
      <c r="R619" s="7"/>
      <c r="S619" s="7"/>
    </row>
    <row r="620" spans="2:19" ht="14.25" customHeight="1" x14ac:dyDescent="0.3">
      <c r="B620" s="12"/>
      <c r="F620" s="6"/>
      <c r="G620" s="6"/>
      <c r="H620" s="9"/>
      <c r="I620" s="9"/>
      <c r="J620" s="9"/>
      <c r="K620" s="7"/>
      <c r="L620" s="7"/>
      <c r="M620" s="8"/>
      <c r="O620" s="7"/>
      <c r="P620" s="7"/>
      <c r="Q620" s="7"/>
      <c r="R620" s="7"/>
      <c r="S620" s="7"/>
    </row>
    <row r="621" spans="2:19" ht="14.25" customHeight="1" x14ac:dyDescent="0.3">
      <c r="B621" s="12"/>
      <c r="F621" s="6"/>
      <c r="G621" s="6"/>
      <c r="H621" s="9"/>
      <c r="I621" s="9"/>
      <c r="J621" s="9"/>
      <c r="K621" s="7"/>
      <c r="L621" s="7"/>
      <c r="M621" s="8"/>
      <c r="O621" s="7"/>
      <c r="P621" s="7"/>
      <c r="Q621" s="7"/>
      <c r="R621" s="7"/>
      <c r="S621" s="7"/>
    </row>
    <row r="622" spans="2:19" ht="14.25" customHeight="1" x14ac:dyDescent="0.3">
      <c r="B622" s="12"/>
      <c r="F622" s="6"/>
      <c r="G622" s="6"/>
      <c r="H622" s="9"/>
      <c r="I622" s="9"/>
      <c r="J622" s="9"/>
      <c r="K622" s="7"/>
      <c r="L622" s="7"/>
      <c r="M622" s="8"/>
      <c r="O622" s="7"/>
      <c r="P622" s="7"/>
      <c r="Q622" s="7"/>
      <c r="R622" s="7"/>
      <c r="S622" s="7"/>
    </row>
    <row r="623" spans="2:19" ht="14.25" customHeight="1" x14ac:dyDescent="0.3">
      <c r="B623" s="12"/>
      <c r="F623" s="6"/>
      <c r="G623" s="6"/>
      <c r="H623" s="9"/>
      <c r="I623" s="9"/>
      <c r="J623" s="9"/>
      <c r="K623" s="7"/>
      <c r="L623" s="7"/>
      <c r="M623" s="8"/>
      <c r="O623" s="7"/>
      <c r="P623" s="7"/>
      <c r="Q623" s="7"/>
      <c r="R623" s="7"/>
      <c r="S623" s="7"/>
    </row>
    <row r="624" spans="2:19" ht="14.25" customHeight="1" x14ac:dyDescent="0.3">
      <c r="B624" s="12"/>
      <c r="F624" s="6"/>
      <c r="G624" s="6"/>
      <c r="H624" s="9"/>
      <c r="I624" s="9"/>
      <c r="J624" s="9"/>
      <c r="K624" s="7"/>
      <c r="L624" s="7"/>
      <c r="M624" s="8"/>
      <c r="O624" s="7"/>
      <c r="P624" s="7"/>
      <c r="Q624" s="7"/>
      <c r="R624" s="7"/>
      <c r="S624" s="7"/>
    </row>
    <row r="625" spans="2:19" ht="14.25" customHeight="1" x14ac:dyDescent="0.3">
      <c r="B625" s="12"/>
      <c r="F625" s="6"/>
      <c r="G625" s="6"/>
      <c r="H625" s="9"/>
      <c r="I625" s="9"/>
      <c r="J625" s="9"/>
      <c r="K625" s="7"/>
      <c r="L625" s="7"/>
      <c r="M625" s="8"/>
      <c r="O625" s="7"/>
      <c r="P625" s="7"/>
      <c r="Q625" s="7"/>
      <c r="R625" s="7"/>
      <c r="S625" s="7"/>
    </row>
    <row r="626" spans="2:19" ht="14.25" customHeight="1" x14ac:dyDescent="0.3">
      <c r="B626" s="12"/>
      <c r="F626" s="6"/>
      <c r="G626" s="6"/>
      <c r="H626" s="9"/>
      <c r="I626" s="9"/>
      <c r="J626" s="9"/>
      <c r="K626" s="7"/>
      <c r="L626" s="7"/>
      <c r="M626" s="8"/>
      <c r="O626" s="7"/>
      <c r="P626" s="7"/>
      <c r="Q626" s="7"/>
      <c r="R626" s="7"/>
      <c r="S626" s="7"/>
    </row>
    <row r="627" spans="2:19" ht="14.25" customHeight="1" x14ac:dyDescent="0.3">
      <c r="B627" s="12"/>
      <c r="F627" s="6"/>
      <c r="G627" s="6"/>
      <c r="H627" s="9"/>
      <c r="I627" s="9"/>
      <c r="J627" s="9"/>
      <c r="K627" s="7"/>
      <c r="L627" s="7"/>
      <c r="M627" s="8"/>
      <c r="O627" s="7"/>
      <c r="P627" s="7"/>
      <c r="Q627" s="7"/>
      <c r="R627" s="7"/>
      <c r="S627" s="7"/>
    </row>
    <row r="628" spans="2:19" ht="14.25" customHeight="1" x14ac:dyDescent="0.3">
      <c r="B628" s="12"/>
      <c r="F628" s="6"/>
      <c r="G628" s="6"/>
      <c r="H628" s="9"/>
      <c r="I628" s="9"/>
      <c r="J628" s="9"/>
      <c r="K628" s="7"/>
      <c r="L628" s="7"/>
      <c r="M628" s="8"/>
      <c r="O628" s="7"/>
      <c r="P628" s="7"/>
      <c r="Q628" s="7"/>
      <c r="R628" s="7"/>
      <c r="S628" s="7"/>
    </row>
    <row r="629" spans="2:19" ht="14.25" customHeight="1" x14ac:dyDescent="0.3">
      <c r="B629" s="12"/>
      <c r="F629" s="6"/>
      <c r="G629" s="6"/>
      <c r="H629" s="9"/>
      <c r="I629" s="9"/>
      <c r="J629" s="9"/>
      <c r="K629" s="7"/>
      <c r="L629" s="7"/>
      <c r="M629" s="8"/>
      <c r="O629" s="7"/>
      <c r="P629" s="7"/>
      <c r="Q629" s="7"/>
      <c r="R629" s="7"/>
      <c r="S629" s="7"/>
    </row>
    <row r="630" spans="2:19" ht="14.25" customHeight="1" x14ac:dyDescent="0.3">
      <c r="B630" s="12"/>
      <c r="F630" s="6"/>
      <c r="G630" s="6"/>
      <c r="H630" s="9"/>
      <c r="I630" s="9"/>
      <c r="J630" s="9"/>
      <c r="K630" s="7"/>
      <c r="L630" s="7"/>
      <c r="M630" s="8"/>
      <c r="O630" s="7"/>
      <c r="P630" s="7"/>
      <c r="Q630" s="7"/>
      <c r="R630" s="7"/>
      <c r="S630" s="7"/>
    </row>
    <row r="631" spans="2:19" ht="14.25" customHeight="1" x14ac:dyDescent="0.3">
      <c r="B631" s="12"/>
      <c r="F631" s="6"/>
      <c r="G631" s="6"/>
      <c r="H631" s="9"/>
      <c r="I631" s="9"/>
      <c r="J631" s="9"/>
      <c r="K631" s="7"/>
      <c r="L631" s="7"/>
      <c r="M631" s="8"/>
      <c r="O631" s="7"/>
      <c r="P631" s="7"/>
      <c r="Q631" s="7"/>
      <c r="R631" s="7"/>
      <c r="S631" s="7"/>
    </row>
    <row r="632" spans="2:19" ht="14.25" customHeight="1" x14ac:dyDescent="0.3">
      <c r="B632" s="12"/>
      <c r="F632" s="6"/>
      <c r="G632" s="6"/>
      <c r="H632" s="9"/>
      <c r="I632" s="9"/>
      <c r="J632" s="9"/>
      <c r="K632" s="7"/>
      <c r="L632" s="7"/>
      <c r="M632" s="8"/>
      <c r="O632" s="7"/>
      <c r="P632" s="7"/>
      <c r="Q632" s="7"/>
      <c r="R632" s="7"/>
      <c r="S632" s="7"/>
    </row>
    <row r="633" spans="2:19" ht="14.25" customHeight="1" x14ac:dyDescent="0.3">
      <c r="B633" s="12"/>
      <c r="F633" s="6"/>
      <c r="G633" s="6"/>
      <c r="H633" s="9"/>
      <c r="I633" s="9"/>
      <c r="J633" s="9"/>
      <c r="K633" s="7"/>
      <c r="L633" s="7"/>
      <c r="M633" s="8"/>
      <c r="O633" s="7"/>
      <c r="P633" s="7"/>
      <c r="Q633" s="7"/>
      <c r="R633" s="7"/>
      <c r="S633" s="7"/>
    </row>
    <row r="634" spans="2:19" ht="14.25" customHeight="1" x14ac:dyDescent="0.3">
      <c r="B634" s="12"/>
      <c r="F634" s="6"/>
      <c r="G634" s="6"/>
      <c r="H634" s="9"/>
      <c r="I634" s="9"/>
      <c r="J634" s="9"/>
      <c r="K634" s="7"/>
      <c r="L634" s="7"/>
      <c r="M634" s="8"/>
      <c r="O634" s="7"/>
      <c r="P634" s="7"/>
      <c r="Q634" s="7"/>
      <c r="R634" s="7"/>
      <c r="S634" s="7"/>
    </row>
    <row r="635" spans="2:19" ht="14.25" customHeight="1" x14ac:dyDescent="0.3">
      <c r="B635" s="12"/>
      <c r="F635" s="6"/>
      <c r="G635" s="6"/>
      <c r="H635" s="9"/>
      <c r="I635" s="9"/>
      <c r="J635" s="9"/>
      <c r="K635" s="7"/>
      <c r="L635" s="7"/>
      <c r="M635" s="8"/>
      <c r="O635" s="7"/>
      <c r="P635" s="7"/>
      <c r="Q635" s="7"/>
      <c r="R635" s="7"/>
      <c r="S635" s="7"/>
    </row>
    <row r="636" spans="2:19" ht="14.25" customHeight="1" x14ac:dyDescent="0.3">
      <c r="B636" s="12"/>
      <c r="F636" s="6"/>
      <c r="G636" s="6"/>
      <c r="H636" s="9"/>
      <c r="I636" s="9"/>
      <c r="J636" s="9"/>
      <c r="K636" s="7"/>
      <c r="L636" s="7"/>
      <c r="M636" s="8"/>
      <c r="O636" s="7"/>
      <c r="P636" s="7"/>
      <c r="Q636" s="7"/>
      <c r="R636" s="7"/>
      <c r="S636" s="7"/>
    </row>
    <row r="637" spans="2:19" ht="14.25" customHeight="1" x14ac:dyDescent="0.3">
      <c r="B637" s="12"/>
      <c r="F637" s="6"/>
      <c r="G637" s="6"/>
      <c r="H637" s="9"/>
      <c r="I637" s="9"/>
      <c r="J637" s="9"/>
      <c r="K637" s="7"/>
      <c r="L637" s="7"/>
      <c r="M637" s="8"/>
      <c r="O637" s="7"/>
      <c r="P637" s="7"/>
      <c r="Q637" s="7"/>
      <c r="R637" s="7"/>
      <c r="S637" s="7"/>
    </row>
    <row r="638" spans="2:19" ht="14.25" customHeight="1" x14ac:dyDescent="0.3">
      <c r="B638" s="12"/>
      <c r="F638" s="6"/>
      <c r="G638" s="6"/>
      <c r="H638" s="9"/>
      <c r="I638" s="9"/>
      <c r="J638" s="9"/>
      <c r="K638" s="7"/>
      <c r="L638" s="7"/>
      <c r="M638" s="8"/>
      <c r="O638" s="7"/>
      <c r="P638" s="7"/>
      <c r="Q638" s="7"/>
      <c r="R638" s="7"/>
      <c r="S638" s="7"/>
    </row>
    <row r="639" spans="2:19" ht="14.25" customHeight="1" x14ac:dyDescent="0.3">
      <c r="B639" s="12"/>
      <c r="F639" s="6"/>
      <c r="G639" s="6"/>
      <c r="H639" s="9"/>
      <c r="I639" s="9"/>
      <c r="J639" s="9"/>
      <c r="K639" s="7"/>
      <c r="L639" s="7"/>
      <c r="M639" s="8"/>
      <c r="O639" s="7"/>
      <c r="P639" s="7"/>
      <c r="Q639" s="7"/>
      <c r="R639" s="7"/>
      <c r="S639" s="7"/>
    </row>
    <row r="640" spans="2:19" ht="14.25" customHeight="1" x14ac:dyDescent="0.3">
      <c r="B640" s="12"/>
      <c r="F640" s="6"/>
      <c r="G640" s="6"/>
      <c r="H640" s="9"/>
      <c r="I640" s="9"/>
      <c r="J640" s="9"/>
      <c r="K640" s="7"/>
      <c r="L640" s="7"/>
      <c r="M640" s="8"/>
      <c r="O640" s="7"/>
      <c r="P640" s="7"/>
      <c r="Q640" s="7"/>
      <c r="R640" s="7"/>
      <c r="S640" s="7"/>
    </row>
    <row r="641" spans="2:19" ht="14.25" customHeight="1" x14ac:dyDescent="0.3">
      <c r="B641" s="12"/>
      <c r="F641" s="6"/>
      <c r="G641" s="6"/>
      <c r="H641" s="9"/>
      <c r="I641" s="9"/>
      <c r="J641" s="9"/>
      <c r="K641" s="7"/>
      <c r="L641" s="7"/>
      <c r="M641" s="8"/>
      <c r="O641" s="7"/>
      <c r="P641" s="7"/>
      <c r="Q641" s="7"/>
      <c r="R641" s="7"/>
      <c r="S641" s="7"/>
    </row>
    <row r="642" spans="2:19" ht="14.25" customHeight="1" x14ac:dyDescent="0.3">
      <c r="B642" s="12"/>
      <c r="F642" s="6"/>
      <c r="G642" s="6"/>
      <c r="H642" s="9"/>
      <c r="I642" s="9"/>
      <c r="J642" s="9"/>
      <c r="K642" s="7"/>
      <c r="L642" s="7"/>
      <c r="M642" s="8"/>
      <c r="O642" s="7"/>
      <c r="P642" s="7"/>
      <c r="Q642" s="7"/>
      <c r="R642" s="7"/>
      <c r="S642" s="7"/>
    </row>
    <row r="643" spans="2:19" ht="14.25" customHeight="1" x14ac:dyDescent="0.3">
      <c r="B643" s="12"/>
      <c r="F643" s="6"/>
      <c r="G643" s="6"/>
      <c r="H643" s="9"/>
      <c r="I643" s="9"/>
      <c r="J643" s="9"/>
      <c r="K643" s="7"/>
      <c r="L643" s="7"/>
      <c r="M643" s="8"/>
      <c r="O643" s="7"/>
      <c r="P643" s="7"/>
      <c r="Q643" s="7"/>
      <c r="R643" s="7"/>
      <c r="S643" s="7"/>
    </row>
    <row r="644" spans="2:19" ht="14.25" customHeight="1" x14ac:dyDescent="0.3">
      <c r="B644" s="12"/>
      <c r="F644" s="6"/>
      <c r="G644" s="6"/>
      <c r="H644" s="9"/>
      <c r="I644" s="9"/>
      <c r="J644" s="9"/>
      <c r="K644" s="7"/>
      <c r="L644" s="7"/>
      <c r="M644" s="8"/>
      <c r="O644" s="7"/>
      <c r="P644" s="7"/>
      <c r="Q644" s="7"/>
      <c r="R644" s="7"/>
      <c r="S644" s="7"/>
    </row>
    <row r="645" spans="2:19" ht="14.25" customHeight="1" x14ac:dyDescent="0.3">
      <c r="B645" s="12"/>
      <c r="F645" s="6"/>
      <c r="G645" s="6"/>
      <c r="H645" s="9"/>
      <c r="I645" s="9"/>
      <c r="J645" s="9"/>
      <c r="K645" s="7"/>
      <c r="L645" s="7"/>
      <c r="M645" s="8"/>
      <c r="O645" s="7"/>
      <c r="P645" s="7"/>
      <c r="Q645" s="7"/>
      <c r="R645" s="7"/>
      <c r="S645" s="7"/>
    </row>
    <row r="646" spans="2:19" ht="14.25" customHeight="1" x14ac:dyDescent="0.3">
      <c r="B646" s="12"/>
      <c r="F646" s="6"/>
      <c r="G646" s="6"/>
      <c r="H646" s="9"/>
      <c r="I646" s="9"/>
      <c r="J646" s="9"/>
      <c r="K646" s="7"/>
      <c r="L646" s="7"/>
      <c r="M646" s="8"/>
      <c r="O646" s="7"/>
      <c r="P646" s="7"/>
      <c r="Q646" s="7"/>
      <c r="R646" s="7"/>
      <c r="S646" s="7"/>
    </row>
    <row r="647" spans="2:19" ht="14.25" customHeight="1" x14ac:dyDescent="0.3">
      <c r="B647" s="12"/>
      <c r="F647" s="6"/>
      <c r="G647" s="6"/>
      <c r="H647" s="9"/>
      <c r="I647" s="9"/>
      <c r="J647" s="9"/>
      <c r="K647" s="7"/>
      <c r="L647" s="7"/>
      <c r="M647" s="8"/>
      <c r="O647" s="7"/>
      <c r="P647" s="7"/>
      <c r="Q647" s="7"/>
      <c r="R647" s="7"/>
      <c r="S647" s="7"/>
    </row>
    <row r="648" spans="2:19" ht="14.25" customHeight="1" x14ac:dyDescent="0.3">
      <c r="B648" s="12"/>
      <c r="F648" s="6"/>
      <c r="G648" s="6"/>
      <c r="H648" s="9"/>
      <c r="I648" s="9"/>
      <c r="J648" s="9"/>
      <c r="K648" s="7"/>
      <c r="L648" s="7"/>
      <c r="M648" s="8"/>
      <c r="O648" s="7"/>
      <c r="P648" s="7"/>
      <c r="Q648" s="7"/>
      <c r="R648" s="7"/>
      <c r="S648" s="7"/>
    </row>
    <row r="649" spans="2:19" ht="14.25" customHeight="1" x14ac:dyDescent="0.3">
      <c r="B649" s="12"/>
      <c r="F649" s="6"/>
      <c r="G649" s="6"/>
      <c r="H649" s="9"/>
      <c r="I649" s="9"/>
      <c r="J649" s="9"/>
      <c r="K649" s="7"/>
      <c r="L649" s="7"/>
      <c r="M649" s="8"/>
      <c r="O649" s="7"/>
      <c r="P649" s="7"/>
      <c r="Q649" s="7"/>
      <c r="R649" s="7"/>
      <c r="S649" s="7"/>
    </row>
    <row r="650" spans="2:19" ht="14.25" customHeight="1" x14ac:dyDescent="0.3">
      <c r="B650" s="12"/>
      <c r="F650" s="6"/>
      <c r="G650" s="6"/>
      <c r="H650" s="9"/>
      <c r="I650" s="9"/>
      <c r="J650" s="9"/>
      <c r="K650" s="7"/>
      <c r="L650" s="7"/>
      <c r="M650" s="8"/>
      <c r="O650" s="7"/>
      <c r="P650" s="7"/>
      <c r="Q650" s="7"/>
      <c r="R650" s="7"/>
      <c r="S650" s="7"/>
    </row>
    <row r="651" spans="2:19" ht="14.25" customHeight="1" x14ac:dyDescent="0.3">
      <c r="B651" s="12"/>
      <c r="F651" s="6"/>
      <c r="G651" s="6"/>
      <c r="H651" s="9"/>
      <c r="I651" s="9"/>
      <c r="J651" s="9"/>
      <c r="K651" s="7"/>
      <c r="L651" s="7"/>
      <c r="M651" s="8"/>
      <c r="O651" s="7"/>
      <c r="P651" s="7"/>
      <c r="Q651" s="7"/>
      <c r="R651" s="7"/>
      <c r="S651" s="7"/>
    </row>
    <row r="652" spans="2:19" ht="14.25" customHeight="1" x14ac:dyDescent="0.3">
      <c r="B652" s="12"/>
      <c r="F652" s="6"/>
      <c r="G652" s="6"/>
      <c r="H652" s="9"/>
      <c r="I652" s="9"/>
      <c r="J652" s="9"/>
      <c r="K652" s="7"/>
      <c r="L652" s="7"/>
      <c r="M652" s="8"/>
      <c r="O652" s="7"/>
      <c r="P652" s="7"/>
      <c r="Q652" s="7"/>
      <c r="R652" s="7"/>
      <c r="S652" s="7"/>
    </row>
    <row r="653" spans="2:19" ht="14.25" customHeight="1" x14ac:dyDescent="0.3">
      <c r="B653" s="12"/>
      <c r="F653" s="6"/>
      <c r="G653" s="6"/>
      <c r="H653" s="9"/>
      <c r="I653" s="9"/>
      <c r="J653" s="9"/>
      <c r="K653" s="7"/>
      <c r="L653" s="7"/>
      <c r="M653" s="8"/>
      <c r="O653" s="7"/>
      <c r="P653" s="7"/>
      <c r="Q653" s="7"/>
      <c r="R653" s="7"/>
      <c r="S653" s="7"/>
    </row>
    <row r="654" spans="2:19" ht="14.25" customHeight="1" x14ac:dyDescent="0.3">
      <c r="B654" s="12"/>
      <c r="F654" s="6"/>
      <c r="G654" s="6"/>
      <c r="H654" s="9"/>
      <c r="I654" s="9"/>
      <c r="J654" s="9"/>
      <c r="K654" s="7"/>
      <c r="L654" s="7"/>
      <c r="M654" s="8"/>
      <c r="O654" s="7"/>
      <c r="P654" s="7"/>
      <c r="Q654" s="7"/>
      <c r="R654" s="7"/>
      <c r="S654" s="7"/>
    </row>
    <row r="655" spans="2:19" ht="14.25" customHeight="1" x14ac:dyDescent="0.3">
      <c r="B655" s="12"/>
      <c r="F655" s="6"/>
      <c r="G655" s="6"/>
      <c r="H655" s="9"/>
      <c r="I655" s="9"/>
      <c r="J655" s="9"/>
      <c r="K655" s="7"/>
      <c r="L655" s="7"/>
      <c r="M655" s="8"/>
      <c r="O655" s="7"/>
      <c r="P655" s="7"/>
      <c r="Q655" s="7"/>
      <c r="R655" s="7"/>
      <c r="S655" s="7"/>
    </row>
    <row r="656" spans="2:19" ht="14.25" customHeight="1" x14ac:dyDescent="0.3">
      <c r="B656" s="12"/>
      <c r="F656" s="6"/>
      <c r="G656" s="6"/>
      <c r="H656" s="9"/>
      <c r="I656" s="9"/>
      <c r="J656" s="9"/>
      <c r="K656" s="7"/>
      <c r="L656" s="7"/>
      <c r="M656" s="8"/>
      <c r="O656" s="7"/>
      <c r="P656" s="7"/>
      <c r="Q656" s="7"/>
      <c r="R656" s="7"/>
      <c r="S656" s="7"/>
    </row>
    <row r="657" spans="2:19" ht="14.25" customHeight="1" x14ac:dyDescent="0.3">
      <c r="B657" s="12"/>
      <c r="F657" s="6"/>
      <c r="G657" s="6"/>
      <c r="H657" s="9"/>
      <c r="I657" s="9"/>
      <c r="J657" s="9"/>
      <c r="K657" s="7"/>
      <c r="L657" s="7"/>
      <c r="M657" s="8"/>
      <c r="O657" s="7"/>
      <c r="P657" s="7"/>
      <c r="Q657" s="7"/>
      <c r="R657" s="7"/>
      <c r="S657" s="7"/>
    </row>
    <row r="658" spans="2:19" ht="14.25" customHeight="1" x14ac:dyDescent="0.3">
      <c r="B658" s="12"/>
      <c r="F658" s="6"/>
      <c r="G658" s="6"/>
      <c r="H658" s="9"/>
      <c r="I658" s="9"/>
      <c r="J658" s="9"/>
      <c r="K658" s="7"/>
      <c r="L658" s="7"/>
      <c r="M658" s="8"/>
      <c r="O658" s="7"/>
      <c r="P658" s="7"/>
      <c r="Q658" s="7"/>
      <c r="R658" s="7"/>
      <c r="S658" s="7"/>
    </row>
    <row r="659" spans="2:19" ht="14.25" customHeight="1" x14ac:dyDescent="0.3">
      <c r="B659" s="12"/>
      <c r="F659" s="6"/>
      <c r="G659" s="6"/>
      <c r="H659" s="9"/>
      <c r="I659" s="9"/>
      <c r="J659" s="9"/>
      <c r="K659" s="7"/>
      <c r="L659" s="7"/>
      <c r="M659" s="8"/>
      <c r="O659" s="7"/>
      <c r="P659" s="7"/>
      <c r="Q659" s="7"/>
      <c r="R659" s="7"/>
      <c r="S659" s="7"/>
    </row>
    <row r="660" spans="2:19" ht="14.25" customHeight="1" x14ac:dyDescent="0.3">
      <c r="B660" s="12"/>
      <c r="F660" s="6"/>
      <c r="G660" s="6"/>
      <c r="H660" s="9"/>
      <c r="I660" s="9"/>
      <c r="J660" s="9"/>
      <c r="K660" s="7"/>
      <c r="L660" s="7"/>
      <c r="M660" s="8"/>
      <c r="O660" s="7"/>
      <c r="P660" s="7"/>
      <c r="Q660" s="7"/>
      <c r="R660" s="7"/>
      <c r="S660" s="7"/>
    </row>
    <row r="661" spans="2:19" ht="14.25" customHeight="1" x14ac:dyDescent="0.3">
      <c r="B661" s="12"/>
      <c r="F661" s="6"/>
      <c r="G661" s="6"/>
      <c r="H661" s="9"/>
      <c r="I661" s="9"/>
      <c r="J661" s="9"/>
      <c r="K661" s="7"/>
      <c r="L661" s="7"/>
      <c r="M661" s="8"/>
      <c r="O661" s="7"/>
      <c r="P661" s="7"/>
      <c r="Q661" s="7"/>
      <c r="R661" s="7"/>
      <c r="S661" s="7"/>
    </row>
    <row r="662" spans="2:19" ht="14.25" customHeight="1" x14ac:dyDescent="0.3">
      <c r="B662" s="12"/>
      <c r="F662" s="6"/>
      <c r="G662" s="6"/>
      <c r="H662" s="9"/>
      <c r="I662" s="9"/>
      <c r="J662" s="9"/>
      <c r="K662" s="7"/>
      <c r="L662" s="7"/>
      <c r="M662" s="8"/>
      <c r="O662" s="7"/>
      <c r="P662" s="7"/>
      <c r="Q662" s="7"/>
      <c r="R662" s="7"/>
      <c r="S662" s="7"/>
    </row>
    <row r="663" spans="2:19" ht="14.25" customHeight="1" x14ac:dyDescent="0.3">
      <c r="B663" s="12"/>
      <c r="F663" s="6"/>
      <c r="G663" s="6"/>
      <c r="H663" s="9"/>
      <c r="I663" s="9"/>
      <c r="J663" s="9"/>
      <c r="K663" s="7"/>
      <c r="L663" s="7"/>
      <c r="M663" s="8"/>
      <c r="O663" s="7"/>
      <c r="P663" s="7"/>
      <c r="Q663" s="7"/>
      <c r="R663" s="7"/>
      <c r="S663" s="7"/>
    </row>
    <row r="664" spans="2:19" ht="14.25" customHeight="1" x14ac:dyDescent="0.3">
      <c r="B664" s="12"/>
      <c r="F664" s="6"/>
      <c r="G664" s="6"/>
      <c r="H664" s="9"/>
      <c r="I664" s="9"/>
      <c r="J664" s="9"/>
      <c r="K664" s="7"/>
      <c r="L664" s="7"/>
      <c r="M664" s="8"/>
      <c r="O664" s="7"/>
      <c r="P664" s="7"/>
      <c r="Q664" s="7"/>
      <c r="R664" s="7"/>
      <c r="S664" s="7"/>
    </row>
    <row r="665" spans="2:19" ht="14.25" customHeight="1" x14ac:dyDescent="0.3">
      <c r="B665" s="12"/>
      <c r="F665" s="6"/>
      <c r="G665" s="6"/>
      <c r="H665" s="9"/>
      <c r="I665" s="9"/>
      <c r="J665" s="9"/>
      <c r="K665" s="7"/>
      <c r="L665" s="7"/>
      <c r="M665" s="8"/>
      <c r="O665" s="7"/>
      <c r="P665" s="7"/>
      <c r="Q665" s="7"/>
      <c r="R665" s="7"/>
      <c r="S665" s="7"/>
    </row>
    <row r="666" spans="2:19" ht="14.25" customHeight="1" x14ac:dyDescent="0.3">
      <c r="B666" s="12"/>
      <c r="F666" s="6"/>
      <c r="G666" s="6"/>
      <c r="H666" s="9"/>
      <c r="I666" s="9"/>
      <c r="J666" s="9"/>
      <c r="K666" s="7"/>
      <c r="L666" s="7"/>
      <c r="M666" s="8"/>
      <c r="O666" s="7"/>
      <c r="P666" s="7"/>
      <c r="Q666" s="7"/>
      <c r="R666" s="7"/>
      <c r="S666" s="7"/>
    </row>
    <row r="667" spans="2:19" ht="14.25" customHeight="1" x14ac:dyDescent="0.3">
      <c r="B667" s="12"/>
      <c r="F667" s="6"/>
      <c r="G667" s="6"/>
      <c r="H667" s="9"/>
      <c r="I667" s="9"/>
      <c r="J667" s="9"/>
      <c r="K667" s="7"/>
      <c r="L667" s="7"/>
      <c r="M667" s="8"/>
      <c r="O667" s="7"/>
      <c r="P667" s="7"/>
      <c r="Q667" s="7"/>
      <c r="R667" s="7"/>
      <c r="S667" s="7"/>
    </row>
    <row r="668" spans="2:19" ht="14.25" customHeight="1" x14ac:dyDescent="0.3">
      <c r="B668" s="12"/>
      <c r="F668" s="6"/>
      <c r="G668" s="6"/>
      <c r="H668" s="9"/>
      <c r="I668" s="9"/>
      <c r="J668" s="9"/>
      <c r="K668" s="7"/>
      <c r="L668" s="7"/>
      <c r="M668" s="8"/>
      <c r="O668" s="7"/>
      <c r="P668" s="7"/>
      <c r="Q668" s="7"/>
      <c r="R668" s="7"/>
      <c r="S668" s="7"/>
    </row>
    <row r="669" spans="2:19" ht="14.25" customHeight="1" x14ac:dyDescent="0.3">
      <c r="B669" s="12"/>
      <c r="F669" s="6"/>
      <c r="G669" s="6"/>
      <c r="H669" s="9"/>
      <c r="I669" s="9"/>
      <c r="J669" s="9"/>
      <c r="K669" s="7"/>
      <c r="L669" s="7"/>
      <c r="M669" s="8"/>
      <c r="O669" s="7"/>
      <c r="P669" s="7"/>
      <c r="Q669" s="7"/>
      <c r="R669" s="7"/>
      <c r="S669" s="7"/>
    </row>
    <row r="670" spans="2:19" ht="14.25" customHeight="1" x14ac:dyDescent="0.3">
      <c r="B670" s="12"/>
      <c r="F670" s="6"/>
      <c r="G670" s="6"/>
      <c r="H670" s="9"/>
      <c r="I670" s="9"/>
      <c r="J670" s="9"/>
      <c r="K670" s="7"/>
      <c r="L670" s="7"/>
      <c r="M670" s="8"/>
      <c r="O670" s="7"/>
      <c r="P670" s="7"/>
      <c r="Q670" s="7"/>
      <c r="R670" s="7"/>
      <c r="S670" s="7"/>
    </row>
    <row r="671" spans="2:19" ht="14.25" customHeight="1" x14ac:dyDescent="0.3">
      <c r="B671" s="12"/>
      <c r="F671" s="6"/>
      <c r="G671" s="6"/>
      <c r="H671" s="9"/>
      <c r="I671" s="9"/>
      <c r="J671" s="9"/>
      <c r="K671" s="7"/>
      <c r="L671" s="7"/>
      <c r="M671" s="8"/>
      <c r="O671" s="7"/>
      <c r="P671" s="7"/>
      <c r="Q671" s="7"/>
      <c r="R671" s="7"/>
      <c r="S671" s="7"/>
    </row>
    <row r="672" spans="2:19" ht="14.25" customHeight="1" x14ac:dyDescent="0.3">
      <c r="B672" s="12"/>
      <c r="F672" s="6"/>
      <c r="G672" s="6"/>
      <c r="H672" s="9"/>
      <c r="I672" s="9"/>
      <c r="J672" s="9"/>
      <c r="K672" s="7"/>
      <c r="L672" s="7"/>
      <c r="M672" s="8"/>
      <c r="O672" s="7"/>
      <c r="P672" s="7"/>
      <c r="Q672" s="7"/>
      <c r="R672" s="7"/>
      <c r="S672" s="7"/>
    </row>
    <row r="673" spans="2:19" ht="14.25" customHeight="1" x14ac:dyDescent="0.3">
      <c r="B673" s="12"/>
      <c r="F673" s="6"/>
      <c r="G673" s="6"/>
      <c r="H673" s="9"/>
      <c r="I673" s="9"/>
      <c r="J673" s="9"/>
      <c r="K673" s="7"/>
      <c r="L673" s="7"/>
      <c r="M673" s="8"/>
      <c r="O673" s="7"/>
      <c r="P673" s="7"/>
      <c r="Q673" s="7"/>
      <c r="R673" s="7"/>
      <c r="S673" s="7"/>
    </row>
    <row r="674" spans="2:19" ht="14.25" customHeight="1" x14ac:dyDescent="0.3">
      <c r="B674" s="12"/>
      <c r="F674" s="6"/>
      <c r="G674" s="6"/>
      <c r="H674" s="9"/>
      <c r="I674" s="9"/>
      <c r="J674" s="9"/>
      <c r="K674" s="7"/>
      <c r="L674" s="7"/>
      <c r="M674" s="8"/>
      <c r="O674" s="7"/>
      <c r="P674" s="7"/>
      <c r="Q674" s="7"/>
      <c r="R674" s="7"/>
      <c r="S674" s="7"/>
    </row>
    <row r="675" spans="2:19" ht="14.25" customHeight="1" x14ac:dyDescent="0.3">
      <c r="B675" s="12"/>
      <c r="F675" s="6"/>
      <c r="G675" s="6"/>
      <c r="H675" s="9"/>
      <c r="I675" s="9"/>
      <c r="J675" s="9"/>
      <c r="K675" s="7"/>
      <c r="L675" s="7"/>
      <c r="M675" s="8"/>
      <c r="O675" s="7"/>
      <c r="P675" s="7"/>
      <c r="Q675" s="7"/>
      <c r="R675" s="7"/>
      <c r="S675" s="7"/>
    </row>
    <row r="676" spans="2:19" ht="14.25" customHeight="1" x14ac:dyDescent="0.3">
      <c r="B676" s="12"/>
      <c r="F676" s="6"/>
      <c r="G676" s="6"/>
      <c r="H676" s="9"/>
      <c r="I676" s="9"/>
      <c r="J676" s="9"/>
      <c r="K676" s="7"/>
      <c r="L676" s="7"/>
      <c r="M676" s="8"/>
      <c r="O676" s="7"/>
      <c r="P676" s="7"/>
      <c r="Q676" s="7"/>
      <c r="R676" s="7"/>
      <c r="S676" s="7"/>
    </row>
    <row r="677" spans="2:19" ht="14.25" customHeight="1" x14ac:dyDescent="0.3">
      <c r="B677" s="12"/>
      <c r="F677" s="6"/>
      <c r="G677" s="6"/>
      <c r="H677" s="9"/>
      <c r="I677" s="9"/>
      <c r="J677" s="9"/>
      <c r="K677" s="7"/>
      <c r="L677" s="7"/>
      <c r="M677" s="8"/>
      <c r="O677" s="7"/>
      <c r="P677" s="7"/>
      <c r="Q677" s="7"/>
      <c r="R677" s="7"/>
      <c r="S677" s="7"/>
    </row>
    <row r="678" spans="2:19" ht="14.25" customHeight="1" x14ac:dyDescent="0.3">
      <c r="B678" s="12"/>
      <c r="F678" s="6"/>
      <c r="G678" s="6"/>
      <c r="H678" s="9"/>
      <c r="I678" s="9"/>
      <c r="J678" s="9"/>
      <c r="K678" s="7"/>
      <c r="L678" s="7"/>
      <c r="M678" s="8"/>
      <c r="O678" s="7"/>
      <c r="P678" s="7"/>
      <c r="Q678" s="7"/>
      <c r="R678" s="7"/>
      <c r="S678" s="7"/>
    </row>
    <row r="679" spans="2:19" ht="14.25" customHeight="1" x14ac:dyDescent="0.3">
      <c r="B679" s="12"/>
      <c r="F679" s="6"/>
      <c r="G679" s="6"/>
      <c r="H679" s="9"/>
      <c r="I679" s="9"/>
      <c r="J679" s="9"/>
      <c r="K679" s="7"/>
      <c r="L679" s="7"/>
      <c r="M679" s="8"/>
      <c r="O679" s="7"/>
      <c r="P679" s="7"/>
      <c r="Q679" s="7"/>
      <c r="R679" s="7"/>
      <c r="S679" s="7"/>
    </row>
    <row r="680" spans="2:19" ht="14.25" customHeight="1" x14ac:dyDescent="0.3">
      <c r="B680" s="12"/>
      <c r="F680" s="6"/>
      <c r="G680" s="6"/>
      <c r="H680" s="9"/>
      <c r="I680" s="9"/>
      <c r="J680" s="9"/>
      <c r="K680" s="7"/>
      <c r="L680" s="7"/>
      <c r="M680" s="8"/>
      <c r="O680" s="7"/>
      <c r="P680" s="7"/>
      <c r="Q680" s="7"/>
      <c r="R680" s="7"/>
      <c r="S680" s="7"/>
    </row>
    <row r="681" spans="2:19" ht="14.25" customHeight="1" x14ac:dyDescent="0.3">
      <c r="B681" s="12"/>
      <c r="F681" s="6"/>
      <c r="G681" s="6"/>
      <c r="H681" s="9"/>
      <c r="I681" s="9"/>
      <c r="J681" s="9"/>
      <c r="K681" s="7"/>
      <c r="L681" s="7"/>
      <c r="M681" s="8"/>
      <c r="O681" s="7"/>
      <c r="P681" s="7"/>
      <c r="Q681" s="7"/>
      <c r="R681" s="7"/>
      <c r="S681" s="7"/>
    </row>
    <row r="682" spans="2:19" ht="14.25" customHeight="1" x14ac:dyDescent="0.3">
      <c r="B682" s="12"/>
      <c r="F682" s="6"/>
      <c r="G682" s="6"/>
      <c r="H682" s="9"/>
      <c r="I682" s="9"/>
      <c r="J682" s="9"/>
      <c r="K682" s="7"/>
      <c r="L682" s="7"/>
      <c r="M682" s="8"/>
      <c r="O682" s="7"/>
      <c r="P682" s="7"/>
      <c r="Q682" s="7"/>
      <c r="R682" s="7"/>
      <c r="S682" s="7"/>
    </row>
    <row r="683" spans="2:19" ht="14.25" customHeight="1" x14ac:dyDescent="0.3">
      <c r="B683" s="12"/>
      <c r="F683" s="6"/>
      <c r="G683" s="6"/>
      <c r="H683" s="9"/>
      <c r="I683" s="9"/>
      <c r="J683" s="9"/>
      <c r="K683" s="7"/>
      <c r="L683" s="7"/>
      <c r="M683" s="8"/>
      <c r="O683" s="7"/>
      <c r="P683" s="7"/>
      <c r="Q683" s="7"/>
      <c r="R683" s="7"/>
      <c r="S683" s="7"/>
    </row>
    <row r="684" spans="2:19" ht="14.25" customHeight="1" x14ac:dyDescent="0.3">
      <c r="B684" s="12"/>
      <c r="F684" s="6"/>
      <c r="G684" s="6"/>
      <c r="H684" s="9"/>
      <c r="I684" s="9"/>
      <c r="J684" s="9"/>
      <c r="K684" s="7"/>
      <c r="L684" s="7"/>
      <c r="M684" s="8"/>
      <c r="O684" s="7"/>
      <c r="P684" s="7"/>
      <c r="Q684" s="7"/>
      <c r="R684" s="7"/>
      <c r="S684" s="7"/>
    </row>
    <row r="685" spans="2:19" ht="14.25" customHeight="1" x14ac:dyDescent="0.3">
      <c r="B685" s="12"/>
      <c r="F685" s="6"/>
      <c r="G685" s="6"/>
      <c r="H685" s="9"/>
      <c r="I685" s="9"/>
      <c r="J685" s="9"/>
      <c r="K685" s="7"/>
      <c r="L685" s="7"/>
      <c r="M685" s="8"/>
      <c r="O685" s="7"/>
      <c r="P685" s="7"/>
      <c r="Q685" s="7"/>
      <c r="R685" s="7"/>
      <c r="S685" s="7"/>
    </row>
    <row r="686" spans="2:19" ht="14.25" customHeight="1" x14ac:dyDescent="0.3">
      <c r="B686" s="12"/>
      <c r="F686" s="6"/>
      <c r="G686" s="6"/>
      <c r="H686" s="9"/>
      <c r="I686" s="9"/>
      <c r="J686" s="9"/>
      <c r="K686" s="7"/>
      <c r="L686" s="7"/>
      <c r="M686" s="8"/>
      <c r="O686" s="7"/>
      <c r="P686" s="7"/>
      <c r="Q686" s="7"/>
      <c r="R686" s="7"/>
      <c r="S686" s="7"/>
    </row>
    <row r="687" spans="2:19" ht="14.25" customHeight="1" x14ac:dyDescent="0.3">
      <c r="B687" s="12"/>
      <c r="F687" s="6"/>
      <c r="G687" s="6"/>
      <c r="H687" s="9"/>
      <c r="I687" s="9"/>
      <c r="J687" s="9"/>
      <c r="K687" s="7"/>
      <c r="L687" s="7"/>
      <c r="M687" s="8"/>
      <c r="O687" s="7"/>
      <c r="P687" s="7"/>
      <c r="Q687" s="7"/>
      <c r="R687" s="7"/>
      <c r="S687" s="7"/>
    </row>
    <row r="688" spans="2:19" ht="14.25" customHeight="1" x14ac:dyDescent="0.3">
      <c r="B688" s="12"/>
      <c r="F688" s="6"/>
      <c r="G688" s="6"/>
      <c r="H688" s="9"/>
      <c r="I688" s="9"/>
      <c r="J688" s="9"/>
      <c r="K688" s="7"/>
      <c r="L688" s="7"/>
      <c r="M688" s="8"/>
      <c r="O688" s="7"/>
      <c r="P688" s="7"/>
      <c r="Q688" s="7"/>
      <c r="R688" s="7"/>
      <c r="S688" s="7"/>
    </row>
    <row r="689" spans="2:19" ht="14.25" customHeight="1" x14ac:dyDescent="0.3">
      <c r="B689" s="12"/>
      <c r="F689" s="6"/>
      <c r="G689" s="6"/>
      <c r="H689" s="9"/>
      <c r="I689" s="9"/>
      <c r="J689" s="9"/>
      <c r="K689" s="7"/>
      <c r="L689" s="7"/>
      <c r="M689" s="8"/>
      <c r="O689" s="7"/>
      <c r="P689" s="7"/>
      <c r="Q689" s="7"/>
      <c r="R689" s="7"/>
      <c r="S689" s="7"/>
    </row>
    <row r="690" spans="2:19" ht="14.25" customHeight="1" x14ac:dyDescent="0.3">
      <c r="B690" s="12"/>
      <c r="F690" s="6"/>
      <c r="G690" s="6"/>
      <c r="H690" s="9"/>
      <c r="I690" s="9"/>
      <c r="J690" s="9"/>
      <c r="K690" s="7"/>
      <c r="L690" s="7"/>
      <c r="M690" s="8"/>
      <c r="O690" s="7"/>
      <c r="P690" s="7"/>
      <c r="Q690" s="7"/>
      <c r="R690" s="7"/>
      <c r="S690" s="7"/>
    </row>
    <row r="691" spans="2:19" ht="14.25" customHeight="1" x14ac:dyDescent="0.3">
      <c r="B691" s="12"/>
      <c r="F691" s="6"/>
      <c r="G691" s="6"/>
      <c r="H691" s="9"/>
      <c r="I691" s="9"/>
      <c r="J691" s="9"/>
      <c r="K691" s="7"/>
      <c r="L691" s="7"/>
      <c r="M691" s="8"/>
      <c r="O691" s="7"/>
      <c r="P691" s="7"/>
      <c r="Q691" s="7"/>
      <c r="R691" s="7"/>
      <c r="S691" s="7"/>
    </row>
    <row r="692" spans="2:19" ht="14.25" customHeight="1" x14ac:dyDescent="0.3">
      <c r="B692" s="12"/>
      <c r="F692" s="6"/>
      <c r="G692" s="6"/>
      <c r="H692" s="9"/>
      <c r="I692" s="9"/>
      <c r="J692" s="9"/>
      <c r="K692" s="7"/>
      <c r="L692" s="7"/>
      <c r="M692" s="8"/>
      <c r="O692" s="7"/>
      <c r="P692" s="7"/>
      <c r="Q692" s="7"/>
      <c r="R692" s="7"/>
      <c r="S692" s="7"/>
    </row>
    <row r="693" spans="2:19" ht="14.25" customHeight="1" x14ac:dyDescent="0.3">
      <c r="B693" s="12"/>
      <c r="F693" s="6"/>
      <c r="G693" s="6"/>
      <c r="H693" s="9"/>
      <c r="I693" s="9"/>
      <c r="J693" s="9"/>
      <c r="K693" s="7"/>
      <c r="L693" s="7"/>
      <c r="M693" s="8"/>
      <c r="O693" s="7"/>
      <c r="P693" s="7"/>
      <c r="Q693" s="7"/>
      <c r="R693" s="7"/>
      <c r="S693" s="7"/>
    </row>
    <row r="694" spans="2:19" ht="14.25" customHeight="1" x14ac:dyDescent="0.3">
      <c r="B694" s="12"/>
      <c r="F694" s="6"/>
      <c r="G694" s="6"/>
      <c r="H694" s="9"/>
      <c r="I694" s="9"/>
      <c r="J694" s="9"/>
      <c r="K694" s="7"/>
      <c r="L694" s="7"/>
      <c r="M694" s="8"/>
      <c r="O694" s="7"/>
      <c r="P694" s="7"/>
      <c r="Q694" s="7"/>
      <c r="R694" s="7"/>
      <c r="S694" s="7"/>
    </row>
    <row r="695" spans="2:19" ht="14.25" customHeight="1" x14ac:dyDescent="0.3">
      <c r="B695" s="12"/>
      <c r="F695" s="6"/>
      <c r="G695" s="6"/>
      <c r="H695" s="9"/>
      <c r="I695" s="9"/>
      <c r="J695" s="9"/>
      <c r="K695" s="7"/>
      <c r="L695" s="7"/>
      <c r="M695" s="8"/>
      <c r="O695" s="7"/>
      <c r="P695" s="7"/>
      <c r="Q695" s="7"/>
      <c r="R695" s="7"/>
      <c r="S695" s="7"/>
    </row>
    <row r="696" spans="2:19" ht="14.25" customHeight="1" x14ac:dyDescent="0.3">
      <c r="B696" s="12"/>
      <c r="F696" s="6"/>
      <c r="G696" s="6"/>
      <c r="H696" s="9"/>
      <c r="I696" s="9"/>
      <c r="J696" s="9"/>
      <c r="K696" s="7"/>
      <c r="L696" s="7"/>
      <c r="M696" s="8"/>
      <c r="O696" s="7"/>
      <c r="P696" s="7"/>
      <c r="Q696" s="7"/>
      <c r="R696" s="7"/>
      <c r="S696" s="7"/>
    </row>
    <row r="697" spans="2:19" ht="14.25" customHeight="1" x14ac:dyDescent="0.3">
      <c r="B697" s="12"/>
      <c r="F697" s="6"/>
      <c r="G697" s="6"/>
      <c r="H697" s="9"/>
      <c r="I697" s="9"/>
      <c r="J697" s="9"/>
      <c r="K697" s="7"/>
      <c r="L697" s="7"/>
      <c r="M697" s="8"/>
      <c r="O697" s="7"/>
      <c r="P697" s="7"/>
      <c r="Q697" s="7"/>
      <c r="R697" s="7"/>
      <c r="S697" s="7"/>
    </row>
    <row r="698" spans="2:19" ht="14.25" customHeight="1" x14ac:dyDescent="0.3">
      <c r="B698" s="12"/>
      <c r="F698" s="6"/>
      <c r="G698" s="6"/>
      <c r="H698" s="9"/>
      <c r="I698" s="9"/>
      <c r="J698" s="9"/>
      <c r="K698" s="7"/>
      <c r="L698" s="7"/>
      <c r="M698" s="8"/>
      <c r="O698" s="7"/>
      <c r="P698" s="7"/>
      <c r="Q698" s="7"/>
      <c r="R698" s="7"/>
      <c r="S698" s="7"/>
    </row>
    <row r="699" spans="2:19" ht="14.25" customHeight="1" x14ac:dyDescent="0.3">
      <c r="B699" s="12"/>
      <c r="F699" s="6"/>
      <c r="G699" s="6"/>
      <c r="H699" s="9"/>
      <c r="I699" s="9"/>
      <c r="J699" s="9"/>
      <c r="K699" s="7"/>
      <c r="L699" s="7"/>
      <c r="M699" s="8"/>
      <c r="O699" s="7"/>
      <c r="P699" s="7"/>
      <c r="Q699" s="7"/>
      <c r="R699" s="7"/>
      <c r="S699" s="7"/>
    </row>
    <row r="700" spans="2:19" ht="14.25" customHeight="1" x14ac:dyDescent="0.3">
      <c r="B700" s="12"/>
      <c r="F700" s="6"/>
      <c r="G700" s="6"/>
      <c r="H700" s="9"/>
      <c r="I700" s="9"/>
      <c r="J700" s="9"/>
      <c r="K700" s="7"/>
      <c r="L700" s="7"/>
      <c r="M700" s="8"/>
      <c r="O700" s="7"/>
      <c r="P700" s="7"/>
      <c r="Q700" s="7"/>
      <c r="R700" s="7"/>
      <c r="S700" s="7"/>
    </row>
    <row r="701" spans="2:19" ht="14.25" customHeight="1" x14ac:dyDescent="0.3">
      <c r="B701" s="12"/>
      <c r="F701" s="6"/>
      <c r="G701" s="6"/>
      <c r="H701" s="9"/>
      <c r="I701" s="9"/>
      <c r="J701" s="9"/>
      <c r="K701" s="7"/>
      <c r="L701" s="7"/>
      <c r="M701" s="8"/>
      <c r="O701" s="7"/>
      <c r="P701" s="7"/>
      <c r="Q701" s="7"/>
      <c r="R701" s="7"/>
      <c r="S701" s="7"/>
    </row>
    <row r="702" spans="2:19" ht="14.25" customHeight="1" x14ac:dyDescent="0.3">
      <c r="B702" s="12"/>
      <c r="F702" s="6"/>
      <c r="G702" s="6"/>
      <c r="H702" s="9"/>
      <c r="I702" s="9"/>
      <c r="J702" s="9"/>
      <c r="K702" s="7"/>
      <c r="L702" s="7"/>
      <c r="M702" s="8"/>
      <c r="O702" s="7"/>
      <c r="P702" s="7"/>
      <c r="Q702" s="7"/>
      <c r="R702" s="7"/>
      <c r="S702" s="7"/>
    </row>
    <row r="703" spans="2:19" ht="14.25" customHeight="1" x14ac:dyDescent="0.3">
      <c r="B703" s="12"/>
      <c r="F703" s="6"/>
      <c r="G703" s="6"/>
      <c r="H703" s="9"/>
      <c r="I703" s="9"/>
      <c r="J703" s="9"/>
      <c r="K703" s="7"/>
      <c r="L703" s="7"/>
      <c r="M703" s="8"/>
      <c r="O703" s="7"/>
      <c r="P703" s="7"/>
      <c r="Q703" s="7"/>
      <c r="R703" s="7"/>
      <c r="S703" s="7"/>
    </row>
    <row r="704" spans="2:19" ht="14.25" customHeight="1" x14ac:dyDescent="0.3">
      <c r="B704" s="12"/>
      <c r="F704" s="6"/>
      <c r="G704" s="6"/>
      <c r="H704" s="9"/>
      <c r="I704" s="9"/>
      <c r="J704" s="9"/>
      <c r="K704" s="7"/>
      <c r="L704" s="7"/>
      <c r="M704" s="8"/>
      <c r="O704" s="7"/>
      <c r="P704" s="7"/>
      <c r="Q704" s="7"/>
      <c r="R704" s="7"/>
      <c r="S704" s="7"/>
    </row>
    <row r="705" spans="2:19" ht="14.25" customHeight="1" x14ac:dyDescent="0.3">
      <c r="B705" s="12"/>
      <c r="F705" s="6"/>
      <c r="G705" s="6"/>
      <c r="H705" s="9"/>
      <c r="I705" s="9"/>
      <c r="J705" s="9"/>
      <c r="K705" s="7"/>
      <c r="L705" s="7"/>
      <c r="M705" s="8"/>
      <c r="O705" s="7"/>
      <c r="P705" s="7"/>
      <c r="Q705" s="7"/>
      <c r="R705" s="7"/>
      <c r="S705" s="7"/>
    </row>
    <row r="706" spans="2:19" ht="14.25" customHeight="1" x14ac:dyDescent="0.3">
      <c r="B706" s="12"/>
      <c r="F706" s="6"/>
      <c r="G706" s="6"/>
      <c r="H706" s="9"/>
      <c r="I706" s="9"/>
      <c r="J706" s="9"/>
      <c r="K706" s="7"/>
      <c r="L706" s="7"/>
      <c r="M706" s="8"/>
      <c r="O706" s="7"/>
      <c r="P706" s="7"/>
      <c r="Q706" s="7"/>
      <c r="R706" s="7"/>
      <c r="S706" s="7"/>
    </row>
    <row r="707" spans="2:19" ht="14.25" customHeight="1" x14ac:dyDescent="0.3">
      <c r="B707" s="12"/>
      <c r="F707" s="6"/>
      <c r="G707" s="6"/>
      <c r="H707" s="9"/>
      <c r="I707" s="9"/>
      <c r="J707" s="9"/>
      <c r="K707" s="7"/>
      <c r="L707" s="7"/>
      <c r="M707" s="8"/>
      <c r="O707" s="7"/>
      <c r="P707" s="7"/>
      <c r="Q707" s="7"/>
      <c r="R707" s="7"/>
      <c r="S707" s="7"/>
    </row>
    <row r="708" spans="2:19" ht="14.25" customHeight="1" x14ac:dyDescent="0.3">
      <c r="B708" s="12"/>
      <c r="F708" s="6"/>
      <c r="G708" s="6"/>
      <c r="H708" s="9"/>
      <c r="I708" s="9"/>
      <c r="J708" s="9"/>
      <c r="K708" s="7"/>
      <c r="L708" s="7"/>
      <c r="M708" s="8"/>
      <c r="O708" s="7"/>
      <c r="P708" s="7"/>
      <c r="Q708" s="7"/>
      <c r="R708" s="7"/>
      <c r="S708" s="7"/>
    </row>
    <row r="709" spans="2:19" ht="14.25" customHeight="1" x14ac:dyDescent="0.3">
      <c r="B709" s="12"/>
      <c r="F709" s="6"/>
      <c r="G709" s="6"/>
      <c r="H709" s="9"/>
      <c r="I709" s="9"/>
      <c r="J709" s="9"/>
      <c r="K709" s="7"/>
      <c r="L709" s="7"/>
      <c r="M709" s="8"/>
      <c r="O709" s="7"/>
      <c r="P709" s="7"/>
      <c r="Q709" s="7"/>
      <c r="R709" s="7"/>
      <c r="S709" s="7"/>
    </row>
    <row r="710" spans="2:19" ht="14.25" customHeight="1" x14ac:dyDescent="0.3">
      <c r="B710" s="12"/>
      <c r="F710" s="6"/>
      <c r="G710" s="6"/>
      <c r="H710" s="9"/>
      <c r="I710" s="9"/>
      <c r="J710" s="9"/>
      <c r="K710" s="7"/>
      <c r="L710" s="7"/>
      <c r="M710" s="8"/>
      <c r="O710" s="7"/>
      <c r="P710" s="7"/>
      <c r="Q710" s="7"/>
      <c r="R710" s="7"/>
      <c r="S710" s="7"/>
    </row>
    <row r="711" spans="2:19" ht="14.25" customHeight="1" x14ac:dyDescent="0.3">
      <c r="B711" s="12"/>
      <c r="F711" s="6"/>
      <c r="G711" s="6"/>
      <c r="H711" s="9"/>
      <c r="I711" s="9"/>
      <c r="J711" s="9"/>
      <c r="K711" s="7"/>
      <c r="L711" s="7"/>
      <c r="M711" s="8"/>
      <c r="O711" s="7"/>
      <c r="P711" s="7"/>
      <c r="Q711" s="7"/>
      <c r="R711" s="7"/>
      <c r="S711" s="7"/>
    </row>
    <row r="712" spans="2:19" ht="14.25" customHeight="1" x14ac:dyDescent="0.3">
      <c r="B712" s="12"/>
      <c r="F712" s="6"/>
      <c r="G712" s="6"/>
      <c r="H712" s="9"/>
      <c r="I712" s="9"/>
      <c r="J712" s="9"/>
      <c r="K712" s="7"/>
      <c r="L712" s="7"/>
      <c r="M712" s="8"/>
      <c r="O712" s="7"/>
      <c r="P712" s="7"/>
      <c r="Q712" s="7"/>
      <c r="R712" s="7"/>
      <c r="S712" s="7"/>
    </row>
    <row r="713" spans="2:19" ht="14.25" customHeight="1" x14ac:dyDescent="0.3">
      <c r="B713" s="12"/>
      <c r="F713" s="6"/>
      <c r="G713" s="6"/>
      <c r="H713" s="9"/>
      <c r="I713" s="9"/>
      <c r="J713" s="9"/>
      <c r="K713" s="7"/>
      <c r="L713" s="7"/>
      <c r="M713" s="8"/>
      <c r="O713" s="7"/>
      <c r="P713" s="7"/>
      <c r="Q713" s="7"/>
      <c r="R713" s="7"/>
      <c r="S713" s="7"/>
    </row>
    <row r="714" spans="2:19" ht="14.25" customHeight="1" x14ac:dyDescent="0.3">
      <c r="B714" s="12"/>
      <c r="F714" s="6"/>
      <c r="G714" s="6"/>
      <c r="H714" s="9"/>
      <c r="I714" s="9"/>
      <c r="J714" s="9"/>
      <c r="K714" s="7"/>
      <c r="L714" s="7"/>
      <c r="M714" s="8"/>
      <c r="O714" s="7"/>
      <c r="P714" s="7"/>
      <c r="Q714" s="7"/>
      <c r="R714" s="7"/>
      <c r="S714" s="7"/>
    </row>
    <row r="715" spans="2:19" ht="14.25" customHeight="1" x14ac:dyDescent="0.3">
      <c r="B715" s="12"/>
      <c r="F715" s="6"/>
      <c r="G715" s="6"/>
      <c r="H715" s="9"/>
      <c r="I715" s="9"/>
      <c r="J715" s="9"/>
      <c r="K715" s="7"/>
      <c r="L715" s="7"/>
      <c r="M715" s="8"/>
      <c r="O715" s="7"/>
      <c r="P715" s="7"/>
      <c r="Q715" s="7"/>
      <c r="R715" s="7"/>
      <c r="S715" s="7"/>
    </row>
    <row r="716" spans="2:19" ht="14.25" customHeight="1" x14ac:dyDescent="0.3">
      <c r="B716" s="12"/>
      <c r="F716" s="6"/>
      <c r="G716" s="6"/>
      <c r="H716" s="9"/>
      <c r="I716" s="9"/>
      <c r="J716" s="9"/>
      <c r="K716" s="7"/>
      <c r="L716" s="7"/>
      <c r="M716" s="8"/>
      <c r="O716" s="7"/>
      <c r="P716" s="7"/>
      <c r="Q716" s="7"/>
      <c r="R716" s="7"/>
      <c r="S716" s="7"/>
    </row>
    <row r="717" spans="2:19" ht="14.25" customHeight="1" x14ac:dyDescent="0.3">
      <c r="B717" s="12"/>
      <c r="F717" s="6"/>
      <c r="G717" s="6"/>
      <c r="H717" s="9"/>
      <c r="I717" s="9"/>
      <c r="J717" s="9"/>
      <c r="K717" s="7"/>
      <c r="L717" s="7"/>
      <c r="M717" s="8"/>
      <c r="O717" s="7"/>
      <c r="P717" s="7"/>
      <c r="Q717" s="7"/>
      <c r="R717" s="7"/>
      <c r="S717" s="7"/>
    </row>
    <row r="718" spans="2:19" ht="14.25" customHeight="1" x14ac:dyDescent="0.3">
      <c r="B718" s="12"/>
      <c r="F718" s="6"/>
      <c r="G718" s="6"/>
      <c r="H718" s="9"/>
      <c r="I718" s="9"/>
      <c r="J718" s="9"/>
      <c r="K718" s="7"/>
      <c r="L718" s="7"/>
      <c r="M718" s="8"/>
      <c r="O718" s="7"/>
      <c r="P718" s="7"/>
      <c r="Q718" s="7"/>
      <c r="R718" s="7"/>
      <c r="S718" s="7"/>
    </row>
    <row r="719" spans="2:19" ht="14.25" customHeight="1" x14ac:dyDescent="0.3">
      <c r="B719" s="12"/>
      <c r="F719" s="6"/>
      <c r="G719" s="6"/>
      <c r="H719" s="9"/>
      <c r="I719" s="9"/>
      <c r="J719" s="9"/>
      <c r="K719" s="7"/>
      <c r="L719" s="7"/>
      <c r="M719" s="8"/>
      <c r="O719" s="7"/>
      <c r="P719" s="7"/>
      <c r="Q719" s="7"/>
      <c r="R719" s="7"/>
      <c r="S719" s="7"/>
    </row>
    <row r="720" spans="2:19" ht="14.25" customHeight="1" x14ac:dyDescent="0.3">
      <c r="B720" s="12"/>
      <c r="F720" s="6"/>
      <c r="G720" s="6"/>
      <c r="H720" s="9"/>
      <c r="I720" s="9"/>
      <c r="J720" s="9"/>
      <c r="K720" s="7"/>
      <c r="L720" s="7"/>
      <c r="M720" s="8"/>
      <c r="O720" s="7"/>
      <c r="P720" s="7"/>
      <c r="Q720" s="7"/>
      <c r="R720" s="7"/>
      <c r="S720" s="7"/>
    </row>
    <row r="721" spans="2:19" ht="14.25" customHeight="1" x14ac:dyDescent="0.3">
      <c r="B721" s="12"/>
      <c r="F721" s="6"/>
      <c r="G721" s="6"/>
      <c r="H721" s="9"/>
      <c r="I721" s="9"/>
      <c r="J721" s="9"/>
      <c r="K721" s="7"/>
      <c r="L721" s="7"/>
      <c r="M721" s="8"/>
      <c r="O721" s="7"/>
      <c r="P721" s="7"/>
      <c r="Q721" s="7"/>
      <c r="R721" s="7"/>
      <c r="S721" s="7"/>
    </row>
    <row r="722" spans="2:19" ht="14.25" customHeight="1" x14ac:dyDescent="0.3">
      <c r="B722" s="12"/>
      <c r="F722" s="6"/>
      <c r="G722" s="6"/>
      <c r="H722" s="9"/>
      <c r="I722" s="9"/>
      <c r="J722" s="9"/>
      <c r="K722" s="7"/>
      <c r="L722" s="7"/>
      <c r="M722" s="8"/>
      <c r="O722" s="7"/>
      <c r="P722" s="7"/>
      <c r="Q722" s="7"/>
      <c r="R722" s="7"/>
      <c r="S722" s="7"/>
    </row>
    <row r="723" spans="2:19" ht="14.25" customHeight="1" x14ac:dyDescent="0.3">
      <c r="B723" s="12"/>
      <c r="F723" s="6"/>
      <c r="G723" s="6"/>
      <c r="H723" s="9"/>
      <c r="I723" s="9"/>
      <c r="J723" s="9"/>
      <c r="K723" s="7"/>
      <c r="L723" s="7"/>
      <c r="M723" s="8"/>
      <c r="O723" s="7"/>
      <c r="P723" s="7"/>
      <c r="Q723" s="7"/>
      <c r="R723" s="7"/>
      <c r="S723" s="7"/>
    </row>
    <row r="724" spans="2:19" ht="14.25" customHeight="1" x14ac:dyDescent="0.3">
      <c r="B724" s="12"/>
      <c r="F724" s="6"/>
      <c r="G724" s="6"/>
      <c r="H724" s="9"/>
      <c r="I724" s="9"/>
      <c r="J724" s="9"/>
      <c r="K724" s="7"/>
      <c r="L724" s="7"/>
      <c r="M724" s="8"/>
      <c r="O724" s="7"/>
      <c r="P724" s="7"/>
      <c r="Q724" s="7"/>
      <c r="R724" s="7"/>
      <c r="S724" s="7"/>
    </row>
    <row r="725" spans="2:19" ht="14.25" customHeight="1" x14ac:dyDescent="0.3">
      <c r="B725" s="12"/>
      <c r="F725" s="6"/>
      <c r="G725" s="6"/>
      <c r="H725" s="9"/>
      <c r="I725" s="9"/>
      <c r="J725" s="9"/>
      <c r="K725" s="7"/>
      <c r="L725" s="7"/>
      <c r="M725" s="8"/>
      <c r="O725" s="7"/>
      <c r="P725" s="7"/>
      <c r="Q725" s="7"/>
      <c r="R725" s="7"/>
      <c r="S725" s="7"/>
    </row>
    <row r="726" spans="2:19" ht="14.25" customHeight="1" x14ac:dyDescent="0.3">
      <c r="B726" s="12"/>
      <c r="F726" s="6"/>
      <c r="G726" s="6"/>
      <c r="H726" s="9"/>
      <c r="I726" s="9"/>
      <c r="J726" s="9"/>
      <c r="K726" s="7"/>
      <c r="L726" s="7"/>
      <c r="M726" s="8"/>
      <c r="O726" s="7"/>
      <c r="P726" s="7"/>
      <c r="Q726" s="7"/>
      <c r="R726" s="7"/>
      <c r="S726" s="7"/>
    </row>
    <row r="727" spans="2:19" ht="14.25" customHeight="1" x14ac:dyDescent="0.3">
      <c r="B727" s="12"/>
      <c r="F727" s="6"/>
      <c r="G727" s="6"/>
      <c r="H727" s="9"/>
      <c r="I727" s="9"/>
      <c r="J727" s="9"/>
      <c r="K727" s="7"/>
      <c r="L727" s="7"/>
      <c r="M727" s="8"/>
      <c r="O727" s="7"/>
      <c r="P727" s="7"/>
      <c r="Q727" s="7"/>
      <c r="R727" s="7"/>
      <c r="S727" s="7"/>
    </row>
    <row r="728" spans="2:19" ht="14.25" customHeight="1" x14ac:dyDescent="0.3">
      <c r="B728" s="12"/>
      <c r="F728" s="6"/>
      <c r="G728" s="6"/>
      <c r="H728" s="9"/>
      <c r="I728" s="9"/>
      <c r="J728" s="9"/>
      <c r="K728" s="7"/>
      <c r="L728" s="7"/>
      <c r="M728" s="8"/>
      <c r="O728" s="7"/>
      <c r="P728" s="7"/>
      <c r="Q728" s="7"/>
      <c r="R728" s="7"/>
      <c r="S728" s="7"/>
    </row>
    <row r="729" spans="2:19" ht="14.25" customHeight="1" x14ac:dyDescent="0.3">
      <c r="B729" s="12"/>
      <c r="F729" s="6"/>
      <c r="G729" s="6"/>
      <c r="H729" s="9"/>
      <c r="I729" s="9"/>
      <c r="J729" s="9"/>
      <c r="K729" s="7"/>
      <c r="L729" s="7"/>
      <c r="M729" s="8"/>
      <c r="O729" s="7"/>
      <c r="P729" s="7"/>
      <c r="Q729" s="7"/>
      <c r="R729" s="7"/>
      <c r="S729" s="7"/>
    </row>
    <row r="730" spans="2:19" ht="14.25" customHeight="1" x14ac:dyDescent="0.3">
      <c r="B730" s="12"/>
      <c r="F730" s="6"/>
      <c r="G730" s="6"/>
      <c r="H730" s="9"/>
      <c r="I730" s="9"/>
      <c r="J730" s="9"/>
      <c r="K730" s="7"/>
      <c r="L730" s="7"/>
      <c r="M730" s="8"/>
      <c r="O730" s="7"/>
      <c r="P730" s="7"/>
      <c r="Q730" s="7"/>
      <c r="R730" s="7"/>
      <c r="S730" s="7"/>
    </row>
    <row r="731" spans="2:19" ht="14.25" customHeight="1" x14ac:dyDescent="0.3">
      <c r="B731" s="12"/>
      <c r="F731" s="6"/>
      <c r="G731" s="6"/>
      <c r="H731" s="9"/>
      <c r="I731" s="9"/>
      <c r="J731" s="9"/>
      <c r="K731" s="7"/>
      <c r="L731" s="7"/>
      <c r="M731" s="8"/>
      <c r="O731" s="7"/>
      <c r="P731" s="7"/>
      <c r="Q731" s="7"/>
      <c r="R731" s="7"/>
      <c r="S731" s="7"/>
    </row>
    <row r="732" spans="2:19" ht="14.25" customHeight="1" x14ac:dyDescent="0.3">
      <c r="B732" s="12"/>
      <c r="F732" s="6"/>
      <c r="G732" s="6"/>
      <c r="H732" s="9"/>
      <c r="I732" s="9"/>
      <c r="J732" s="9"/>
      <c r="K732" s="7"/>
      <c r="L732" s="7"/>
      <c r="M732" s="8"/>
      <c r="O732" s="7"/>
      <c r="P732" s="7"/>
      <c r="Q732" s="7"/>
      <c r="R732" s="7"/>
      <c r="S732" s="7"/>
    </row>
    <row r="733" spans="2:19" ht="14.25" customHeight="1" x14ac:dyDescent="0.3">
      <c r="B733" s="12"/>
      <c r="F733" s="6"/>
      <c r="G733" s="6"/>
      <c r="H733" s="9"/>
      <c r="I733" s="9"/>
      <c r="J733" s="9"/>
      <c r="K733" s="7"/>
      <c r="L733" s="7"/>
      <c r="M733" s="8"/>
      <c r="O733" s="7"/>
      <c r="P733" s="7"/>
      <c r="Q733" s="7"/>
      <c r="R733" s="7"/>
      <c r="S733" s="7"/>
    </row>
    <row r="734" spans="2:19" ht="14.25" customHeight="1" x14ac:dyDescent="0.3">
      <c r="B734" s="12"/>
      <c r="F734" s="6"/>
      <c r="G734" s="6"/>
      <c r="H734" s="9"/>
      <c r="I734" s="9"/>
      <c r="J734" s="9"/>
      <c r="K734" s="7"/>
      <c r="L734" s="7"/>
      <c r="M734" s="8"/>
      <c r="O734" s="7"/>
      <c r="P734" s="7"/>
      <c r="Q734" s="7"/>
      <c r="R734" s="7"/>
      <c r="S734" s="7"/>
    </row>
    <row r="735" spans="2:19" ht="14.25" customHeight="1" x14ac:dyDescent="0.3">
      <c r="B735" s="12"/>
      <c r="F735" s="6"/>
      <c r="G735" s="6"/>
      <c r="H735" s="9"/>
      <c r="I735" s="9"/>
      <c r="J735" s="9"/>
      <c r="K735" s="7"/>
      <c r="L735" s="7"/>
      <c r="M735" s="8"/>
      <c r="O735" s="7"/>
      <c r="P735" s="7"/>
      <c r="Q735" s="7"/>
      <c r="R735" s="7"/>
      <c r="S735" s="7"/>
    </row>
    <row r="736" spans="2:19" ht="14.25" customHeight="1" x14ac:dyDescent="0.3">
      <c r="B736" s="12"/>
      <c r="F736" s="6"/>
      <c r="G736" s="6"/>
      <c r="H736" s="9"/>
      <c r="I736" s="9"/>
      <c r="J736" s="9"/>
      <c r="K736" s="7"/>
      <c r="L736" s="7"/>
      <c r="M736" s="8"/>
      <c r="O736" s="7"/>
      <c r="P736" s="7"/>
      <c r="Q736" s="7"/>
      <c r="R736" s="7"/>
      <c r="S736" s="7"/>
    </row>
    <row r="737" spans="2:19" ht="14.25" customHeight="1" x14ac:dyDescent="0.3">
      <c r="B737" s="12"/>
      <c r="F737" s="6"/>
      <c r="G737" s="6"/>
      <c r="H737" s="9"/>
      <c r="I737" s="9"/>
      <c r="J737" s="9"/>
      <c r="K737" s="7"/>
      <c r="L737" s="7"/>
      <c r="M737" s="8"/>
      <c r="O737" s="7"/>
      <c r="P737" s="7"/>
      <c r="Q737" s="7"/>
      <c r="R737" s="7"/>
      <c r="S737" s="7"/>
    </row>
    <row r="738" spans="2:19" ht="14.25" customHeight="1" x14ac:dyDescent="0.3">
      <c r="B738" s="12"/>
      <c r="F738" s="6"/>
      <c r="G738" s="6"/>
      <c r="H738" s="9"/>
      <c r="I738" s="9"/>
      <c r="J738" s="9"/>
      <c r="K738" s="7"/>
      <c r="L738" s="7"/>
      <c r="M738" s="8"/>
      <c r="O738" s="7"/>
      <c r="P738" s="7"/>
      <c r="Q738" s="7"/>
      <c r="R738" s="7"/>
      <c r="S738" s="7"/>
    </row>
    <row r="739" spans="2:19" ht="14.25" customHeight="1" x14ac:dyDescent="0.3">
      <c r="B739" s="12"/>
      <c r="F739" s="6"/>
      <c r="G739" s="6"/>
      <c r="H739" s="9"/>
      <c r="I739" s="9"/>
      <c r="J739" s="9"/>
      <c r="K739" s="7"/>
      <c r="L739" s="7"/>
      <c r="M739" s="8"/>
      <c r="O739" s="7"/>
      <c r="P739" s="7"/>
      <c r="Q739" s="7"/>
      <c r="R739" s="7"/>
      <c r="S739" s="7"/>
    </row>
    <row r="740" spans="2:19" ht="14.25" customHeight="1" x14ac:dyDescent="0.3">
      <c r="B740" s="12"/>
      <c r="F740" s="6"/>
      <c r="G740" s="6"/>
      <c r="H740" s="9"/>
      <c r="I740" s="9"/>
      <c r="J740" s="9"/>
      <c r="K740" s="7"/>
      <c r="L740" s="7"/>
      <c r="M740" s="8"/>
      <c r="O740" s="7"/>
      <c r="P740" s="7"/>
      <c r="Q740" s="7"/>
      <c r="R740" s="7"/>
      <c r="S740" s="7"/>
    </row>
    <row r="741" spans="2:19" ht="14.25" customHeight="1" x14ac:dyDescent="0.3">
      <c r="B741" s="12"/>
      <c r="F741" s="6"/>
      <c r="G741" s="6"/>
      <c r="H741" s="9"/>
      <c r="I741" s="9"/>
      <c r="J741" s="9"/>
      <c r="K741" s="7"/>
      <c r="L741" s="7"/>
      <c r="M741" s="8"/>
      <c r="O741" s="7"/>
      <c r="P741" s="7"/>
      <c r="Q741" s="7"/>
      <c r="R741" s="7"/>
      <c r="S741" s="7"/>
    </row>
    <row r="742" spans="2:19" ht="14.25" customHeight="1" x14ac:dyDescent="0.3">
      <c r="B742" s="12"/>
      <c r="F742" s="6"/>
      <c r="G742" s="6"/>
      <c r="H742" s="9"/>
      <c r="I742" s="9"/>
      <c r="J742" s="9"/>
      <c r="K742" s="7"/>
      <c r="L742" s="7"/>
      <c r="M742" s="8"/>
      <c r="O742" s="7"/>
      <c r="P742" s="7"/>
      <c r="Q742" s="7"/>
      <c r="R742" s="7"/>
      <c r="S742" s="7"/>
    </row>
    <row r="743" spans="2:19" ht="14.25" customHeight="1" x14ac:dyDescent="0.3">
      <c r="B743" s="12"/>
      <c r="F743" s="6"/>
      <c r="G743" s="6"/>
      <c r="H743" s="9"/>
      <c r="I743" s="9"/>
      <c r="J743" s="9"/>
      <c r="K743" s="7"/>
      <c r="L743" s="7"/>
      <c r="M743" s="8"/>
      <c r="O743" s="7"/>
      <c r="P743" s="7"/>
      <c r="Q743" s="7"/>
      <c r="R743" s="7"/>
      <c r="S743" s="7"/>
    </row>
    <row r="744" spans="2:19" ht="14.25" customHeight="1" x14ac:dyDescent="0.3">
      <c r="B744" s="12"/>
      <c r="F744" s="6"/>
      <c r="G744" s="6"/>
      <c r="H744" s="9"/>
      <c r="I744" s="9"/>
      <c r="J744" s="9"/>
      <c r="K744" s="7"/>
      <c r="L744" s="7"/>
      <c r="M744" s="8"/>
      <c r="O744" s="7"/>
      <c r="P744" s="7"/>
      <c r="Q744" s="7"/>
      <c r="R744" s="7"/>
      <c r="S744" s="7"/>
    </row>
    <row r="745" spans="2:19" ht="14.25" customHeight="1" x14ac:dyDescent="0.3">
      <c r="B745" s="12"/>
      <c r="F745" s="6"/>
      <c r="G745" s="6"/>
      <c r="H745" s="9"/>
      <c r="I745" s="9"/>
      <c r="J745" s="9"/>
      <c r="K745" s="7"/>
      <c r="L745" s="7"/>
      <c r="M745" s="8"/>
      <c r="O745" s="7"/>
      <c r="P745" s="7"/>
      <c r="Q745" s="7"/>
      <c r="R745" s="7"/>
      <c r="S745" s="7"/>
    </row>
    <row r="746" spans="2:19" ht="14.25" customHeight="1" x14ac:dyDescent="0.3">
      <c r="B746" s="12"/>
      <c r="F746" s="6"/>
      <c r="G746" s="6"/>
      <c r="H746" s="9"/>
      <c r="I746" s="9"/>
      <c r="J746" s="9"/>
      <c r="K746" s="7"/>
      <c r="L746" s="7"/>
      <c r="M746" s="8"/>
      <c r="O746" s="7"/>
      <c r="P746" s="7"/>
      <c r="Q746" s="7"/>
      <c r="R746" s="7"/>
      <c r="S746" s="7"/>
    </row>
    <row r="747" spans="2:19" ht="14.25" customHeight="1" x14ac:dyDescent="0.3">
      <c r="B747" s="12"/>
      <c r="F747" s="6"/>
      <c r="G747" s="6"/>
      <c r="H747" s="9"/>
      <c r="I747" s="9"/>
      <c r="J747" s="9"/>
      <c r="K747" s="7"/>
      <c r="L747" s="7"/>
      <c r="M747" s="8"/>
      <c r="O747" s="7"/>
      <c r="P747" s="7"/>
      <c r="Q747" s="7"/>
      <c r="R747" s="7"/>
      <c r="S747" s="7"/>
    </row>
    <row r="748" spans="2:19" ht="14.25" customHeight="1" x14ac:dyDescent="0.3">
      <c r="B748" s="12"/>
      <c r="F748" s="6"/>
      <c r="G748" s="6"/>
      <c r="H748" s="9"/>
      <c r="I748" s="9"/>
      <c r="J748" s="9"/>
      <c r="K748" s="7"/>
      <c r="L748" s="7"/>
      <c r="M748" s="8"/>
      <c r="O748" s="7"/>
      <c r="P748" s="7"/>
      <c r="Q748" s="7"/>
      <c r="R748" s="7"/>
      <c r="S748" s="7"/>
    </row>
    <row r="749" spans="2:19" ht="14.25" customHeight="1" x14ac:dyDescent="0.3">
      <c r="B749" s="12"/>
      <c r="F749" s="6"/>
      <c r="G749" s="6"/>
      <c r="H749" s="9"/>
      <c r="I749" s="9"/>
      <c r="J749" s="9"/>
      <c r="K749" s="7"/>
      <c r="L749" s="7"/>
      <c r="M749" s="8"/>
      <c r="O749" s="7"/>
      <c r="P749" s="7"/>
      <c r="Q749" s="7"/>
      <c r="R749" s="7"/>
      <c r="S749" s="7"/>
    </row>
    <row r="750" spans="2:19" ht="14.25" customHeight="1" x14ac:dyDescent="0.3">
      <c r="B750" s="12"/>
      <c r="F750" s="6"/>
      <c r="G750" s="6"/>
      <c r="H750" s="9"/>
      <c r="I750" s="9"/>
      <c r="J750" s="9"/>
      <c r="K750" s="7"/>
      <c r="L750" s="7"/>
      <c r="M750" s="8"/>
      <c r="O750" s="7"/>
      <c r="P750" s="7"/>
      <c r="Q750" s="7"/>
      <c r="R750" s="7"/>
      <c r="S750" s="7"/>
    </row>
    <row r="751" spans="2:19" ht="14.25" customHeight="1" x14ac:dyDescent="0.3">
      <c r="B751" s="12"/>
      <c r="F751" s="6"/>
      <c r="G751" s="6"/>
      <c r="H751" s="9"/>
      <c r="I751" s="9"/>
      <c r="J751" s="9"/>
      <c r="K751" s="7"/>
      <c r="L751" s="7"/>
      <c r="M751" s="8"/>
      <c r="O751" s="7"/>
      <c r="P751" s="7"/>
      <c r="Q751" s="7"/>
      <c r="R751" s="7"/>
      <c r="S751" s="7"/>
    </row>
    <row r="752" spans="2:19" ht="14.25" customHeight="1" x14ac:dyDescent="0.3">
      <c r="B752" s="12"/>
      <c r="F752" s="6"/>
      <c r="G752" s="6"/>
      <c r="H752" s="9"/>
      <c r="I752" s="9"/>
      <c r="J752" s="9"/>
      <c r="K752" s="7"/>
      <c r="L752" s="7"/>
      <c r="M752" s="8"/>
      <c r="O752" s="7"/>
      <c r="P752" s="7"/>
      <c r="Q752" s="7"/>
      <c r="R752" s="7"/>
      <c r="S752" s="7"/>
    </row>
    <row r="753" spans="2:19" ht="14.25" customHeight="1" x14ac:dyDescent="0.3">
      <c r="B753" s="12"/>
      <c r="F753" s="6"/>
      <c r="G753" s="6"/>
      <c r="H753" s="9"/>
      <c r="I753" s="9"/>
      <c r="J753" s="9"/>
      <c r="K753" s="7"/>
      <c r="L753" s="7"/>
      <c r="M753" s="8"/>
      <c r="O753" s="7"/>
      <c r="P753" s="7"/>
      <c r="Q753" s="7"/>
      <c r="R753" s="7"/>
      <c r="S753" s="7"/>
    </row>
    <row r="754" spans="2:19" ht="14.25" customHeight="1" x14ac:dyDescent="0.3">
      <c r="B754" s="12"/>
      <c r="F754" s="6"/>
      <c r="G754" s="6"/>
      <c r="H754" s="9"/>
      <c r="I754" s="9"/>
      <c r="J754" s="9"/>
      <c r="K754" s="7"/>
      <c r="L754" s="7"/>
      <c r="M754" s="8"/>
      <c r="O754" s="7"/>
      <c r="P754" s="7"/>
      <c r="Q754" s="7"/>
      <c r="R754" s="7"/>
      <c r="S754" s="7"/>
    </row>
    <row r="755" spans="2:19" ht="14.25" customHeight="1" x14ac:dyDescent="0.3">
      <c r="B755" s="12"/>
      <c r="F755" s="6"/>
      <c r="G755" s="6"/>
      <c r="H755" s="9"/>
      <c r="I755" s="9"/>
      <c r="J755" s="9"/>
      <c r="K755" s="7"/>
      <c r="L755" s="7"/>
      <c r="M755" s="8"/>
      <c r="O755" s="7"/>
      <c r="P755" s="7"/>
      <c r="Q755" s="7"/>
      <c r="R755" s="7"/>
      <c r="S755" s="7"/>
    </row>
    <row r="756" spans="2:19" ht="14.25" customHeight="1" x14ac:dyDescent="0.3">
      <c r="B756" s="12"/>
      <c r="F756" s="6"/>
      <c r="G756" s="6"/>
      <c r="H756" s="9"/>
      <c r="I756" s="9"/>
      <c r="J756" s="9"/>
      <c r="K756" s="7"/>
      <c r="L756" s="7"/>
      <c r="M756" s="8"/>
      <c r="O756" s="7"/>
      <c r="P756" s="7"/>
      <c r="Q756" s="7"/>
      <c r="R756" s="7"/>
      <c r="S756" s="7"/>
    </row>
    <row r="757" spans="2:19" ht="14.25" customHeight="1" x14ac:dyDescent="0.3">
      <c r="B757" s="12"/>
      <c r="F757" s="6"/>
      <c r="G757" s="6"/>
      <c r="H757" s="9"/>
      <c r="I757" s="9"/>
      <c r="J757" s="9"/>
      <c r="K757" s="7"/>
      <c r="L757" s="7"/>
      <c r="M757" s="8"/>
      <c r="O757" s="7"/>
      <c r="P757" s="7"/>
      <c r="Q757" s="7"/>
      <c r="R757" s="7"/>
      <c r="S757" s="7"/>
    </row>
    <row r="758" spans="2:19" ht="14.25" customHeight="1" x14ac:dyDescent="0.3">
      <c r="B758" s="12"/>
      <c r="F758" s="6"/>
      <c r="G758" s="6"/>
      <c r="H758" s="9"/>
      <c r="I758" s="9"/>
      <c r="J758" s="9"/>
      <c r="K758" s="7"/>
      <c r="L758" s="7"/>
      <c r="M758" s="8"/>
      <c r="O758" s="7"/>
      <c r="P758" s="7"/>
      <c r="Q758" s="7"/>
      <c r="R758" s="7"/>
      <c r="S758" s="7"/>
    </row>
    <row r="759" spans="2:19" ht="14.25" customHeight="1" x14ac:dyDescent="0.3">
      <c r="B759" s="12"/>
      <c r="F759" s="6"/>
      <c r="G759" s="6"/>
      <c r="H759" s="9"/>
      <c r="I759" s="9"/>
      <c r="J759" s="9"/>
      <c r="K759" s="7"/>
      <c r="L759" s="7"/>
      <c r="M759" s="8"/>
      <c r="O759" s="7"/>
      <c r="P759" s="7"/>
      <c r="Q759" s="7"/>
      <c r="R759" s="7"/>
      <c r="S759" s="7"/>
    </row>
    <row r="760" spans="2:19" ht="14.25" customHeight="1" x14ac:dyDescent="0.3">
      <c r="B760" s="12"/>
      <c r="F760" s="6"/>
      <c r="G760" s="6"/>
      <c r="H760" s="9"/>
      <c r="I760" s="9"/>
      <c r="J760" s="9"/>
      <c r="K760" s="7"/>
      <c r="L760" s="7"/>
      <c r="M760" s="8"/>
      <c r="O760" s="7"/>
      <c r="P760" s="7"/>
      <c r="Q760" s="7"/>
      <c r="R760" s="7"/>
      <c r="S760" s="7"/>
    </row>
    <row r="761" spans="2:19" ht="14.25" customHeight="1" x14ac:dyDescent="0.3">
      <c r="B761" s="12"/>
      <c r="F761" s="6"/>
      <c r="G761" s="6"/>
      <c r="H761" s="9"/>
      <c r="I761" s="9"/>
      <c r="J761" s="9"/>
      <c r="K761" s="7"/>
      <c r="L761" s="7"/>
      <c r="M761" s="8"/>
      <c r="O761" s="7"/>
      <c r="P761" s="7"/>
      <c r="Q761" s="7"/>
      <c r="R761" s="7"/>
      <c r="S761" s="7"/>
    </row>
    <row r="762" spans="2:19" ht="14.25" customHeight="1" x14ac:dyDescent="0.3">
      <c r="B762" s="12"/>
      <c r="F762" s="6"/>
      <c r="G762" s="6"/>
      <c r="H762" s="9"/>
      <c r="I762" s="9"/>
      <c r="J762" s="9"/>
      <c r="K762" s="7"/>
      <c r="L762" s="7"/>
      <c r="M762" s="8"/>
      <c r="O762" s="7"/>
      <c r="P762" s="7"/>
      <c r="Q762" s="7"/>
      <c r="R762" s="7"/>
      <c r="S762" s="7"/>
    </row>
    <row r="763" spans="2:19" ht="14.25" customHeight="1" x14ac:dyDescent="0.3">
      <c r="B763" s="12"/>
      <c r="F763" s="6"/>
      <c r="G763" s="6"/>
      <c r="H763" s="9"/>
      <c r="I763" s="9"/>
      <c r="J763" s="9"/>
      <c r="K763" s="7"/>
      <c r="L763" s="7"/>
      <c r="M763" s="8"/>
      <c r="O763" s="7"/>
      <c r="P763" s="7"/>
      <c r="Q763" s="7"/>
      <c r="R763" s="7"/>
      <c r="S763" s="7"/>
    </row>
    <row r="764" spans="2:19" ht="14.25" customHeight="1" x14ac:dyDescent="0.3">
      <c r="B764" s="12"/>
      <c r="F764" s="6"/>
      <c r="G764" s="6"/>
      <c r="H764" s="9"/>
      <c r="I764" s="9"/>
      <c r="J764" s="9"/>
      <c r="K764" s="7"/>
      <c r="L764" s="7"/>
      <c r="M764" s="8"/>
      <c r="O764" s="7"/>
      <c r="P764" s="7"/>
      <c r="Q764" s="7"/>
      <c r="R764" s="7"/>
      <c r="S764" s="7"/>
    </row>
    <row r="765" spans="2:19" ht="14.25" customHeight="1" x14ac:dyDescent="0.3">
      <c r="B765" s="12"/>
      <c r="F765" s="6"/>
      <c r="G765" s="6"/>
      <c r="H765" s="9"/>
      <c r="I765" s="9"/>
      <c r="J765" s="9"/>
      <c r="K765" s="7"/>
      <c r="L765" s="7"/>
      <c r="M765" s="8"/>
      <c r="O765" s="7"/>
      <c r="P765" s="7"/>
      <c r="Q765" s="7"/>
      <c r="R765" s="7"/>
      <c r="S765" s="7"/>
    </row>
    <row r="766" spans="2:19" ht="14.25" customHeight="1" x14ac:dyDescent="0.3">
      <c r="B766" s="12"/>
      <c r="F766" s="6"/>
      <c r="G766" s="6"/>
      <c r="H766" s="9"/>
      <c r="I766" s="9"/>
      <c r="J766" s="9"/>
      <c r="K766" s="7"/>
      <c r="L766" s="7"/>
      <c r="M766" s="8"/>
      <c r="O766" s="7"/>
      <c r="P766" s="7"/>
      <c r="Q766" s="7"/>
      <c r="R766" s="7"/>
      <c r="S766" s="7"/>
    </row>
    <row r="767" spans="2:19" ht="14.25" customHeight="1" x14ac:dyDescent="0.3">
      <c r="B767" s="12"/>
      <c r="F767" s="6"/>
      <c r="G767" s="6"/>
      <c r="H767" s="9"/>
      <c r="I767" s="9"/>
      <c r="J767" s="9"/>
      <c r="K767" s="7"/>
      <c r="L767" s="7"/>
      <c r="M767" s="8"/>
      <c r="O767" s="7"/>
      <c r="P767" s="7"/>
      <c r="Q767" s="7"/>
      <c r="R767" s="7"/>
      <c r="S767" s="7"/>
    </row>
    <row r="768" spans="2:19" ht="14.25" customHeight="1" x14ac:dyDescent="0.3">
      <c r="B768" s="12"/>
      <c r="F768" s="6"/>
      <c r="G768" s="6"/>
      <c r="H768" s="9"/>
      <c r="I768" s="9"/>
      <c r="J768" s="9"/>
      <c r="K768" s="7"/>
      <c r="L768" s="7"/>
      <c r="M768" s="8"/>
      <c r="O768" s="7"/>
      <c r="P768" s="7"/>
      <c r="Q768" s="7"/>
      <c r="R768" s="7"/>
      <c r="S768" s="7"/>
    </row>
    <row r="769" spans="2:19" ht="14.25" customHeight="1" x14ac:dyDescent="0.3">
      <c r="B769" s="12"/>
      <c r="F769" s="6"/>
      <c r="G769" s="6"/>
      <c r="H769" s="9"/>
      <c r="I769" s="9"/>
      <c r="J769" s="9"/>
      <c r="K769" s="7"/>
      <c r="L769" s="7"/>
      <c r="M769" s="8"/>
      <c r="O769" s="7"/>
      <c r="P769" s="7"/>
      <c r="Q769" s="7"/>
      <c r="R769" s="7"/>
      <c r="S769" s="7"/>
    </row>
    <row r="770" spans="2:19" ht="14.25" customHeight="1" x14ac:dyDescent="0.3">
      <c r="B770" s="12"/>
      <c r="F770" s="6"/>
      <c r="G770" s="6"/>
      <c r="H770" s="9"/>
      <c r="I770" s="9"/>
      <c r="J770" s="9"/>
      <c r="K770" s="7"/>
      <c r="L770" s="7"/>
      <c r="M770" s="8"/>
      <c r="O770" s="7"/>
      <c r="P770" s="7"/>
      <c r="Q770" s="7"/>
      <c r="R770" s="7"/>
      <c r="S770" s="7"/>
    </row>
    <row r="771" spans="2:19" ht="14.25" customHeight="1" x14ac:dyDescent="0.3">
      <c r="B771" s="12"/>
      <c r="F771" s="6"/>
      <c r="G771" s="6"/>
      <c r="H771" s="9"/>
      <c r="I771" s="9"/>
      <c r="J771" s="9"/>
      <c r="K771" s="7"/>
      <c r="L771" s="7"/>
      <c r="M771" s="8"/>
      <c r="O771" s="7"/>
      <c r="P771" s="7"/>
      <c r="Q771" s="7"/>
      <c r="R771" s="7"/>
      <c r="S771" s="7"/>
    </row>
    <row r="772" spans="2:19" ht="14.25" customHeight="1" x14ac:dyDescent="0.3">
      <c r="B772" s="12"/>
      <c r="F772" s="6"/>
      <c r="G772" s="6"/>
      <c r="H772" s="9"/>
      <c r="I772" s="9"/>
      <c r="J772" s="9"/>
      <c r="K772" s="7"/>
      <c r="L772" s="7"/>
      <c r="M772" s="8"/>
      <c r="O772" s="7"/>
      <c r="P772" s="7"/>
      <c r="Q772" s="7"/>
      <c r="R772" s="7"/>
      <c r="S772" s="7"/>
    </row>
    <row r="773" spans="2:19" ht="14.25" customHeight="1" x14ac:dyDescent="0.3">
      <c r="B773" s="12"/>
      <c r="F773" s="6"/>
      <c r="G773" s="6"/>
      <c r="H773" s="9"/>
      <c r="I773" s="9"/>
      <c r="J773" s="9"/>
      <c r="K773" s="7"/>
      <c r="L773" s="7"/>
      <c r="M773" s="8"/>
      <c r="O773" s="7"/>
      <c r="P773" s="7"/>
      <c r="Q773" s="7"/>
      <c r="R773" s="7"/>
      <c r="S773" s="7"/>
    </row>
    <row r="774" spans="2:19" ht="14.25" customHeight="1" x14ac:dyDescent="0.3">
      <c r="B774" s="12"/>
      <c r="F774" s="6"/>
      <c r="G774" s="6"/>
      <c r="H774" s="9"/>
      <c r="I774" s="9"/>
      <c r="J774" s="9"/>
      <c r="K774" s="7"/>
      <c r="L774" s="7"/>
      <c r="M774" s="8"/>
      <c r="O774" s="7"/>
      <c r="P774" s="7"/>
      <c r="Q774" s="7"/>
      <c r="R774" s="7"/>
      <c r="S774" s="7"/>
    </row>
    <row r="775" spans="2:19" ht="14.25" customHeight="1" x14ac:dyDescent="0.3">
      <c r="B775" s="12"/>
      <c r="F775" s="6"/>
      <c r="G775" s="6"/>
      <c r="H775" s="9"/>
      <c r="I775" s="9"/>
      <c r="J775" s="9"/>
      <c r="K775" s="7"/>
      <c r="L775" s="7"/>
      <c r="M775" s="8"/>
      <c r="O775" s="7"/>
      <c r="P775" s="7"/>
      <c r="Q775" s="7"/>
      <c r="R775" s="7"/>
      <c r="S775" s="7"/>
    </row>
    <row r="776" spans="2:19" ht="14.25" customHeight="1" x14ac:dyDescent="0.3">
      <c r="B776" s="12"/>
      <c r="F776" s="6"/>
      <c r="G776" s="6"/>
      <c r="H776" s="9"/>
      <c r="I776" s="9"/>
      <c r="J776" s="9"/>
      <c r="K776" s="7"/>
      <c r="L776" s="7"/>
      <c r="M776" s="8"/>
      <c r="O776" s="7"/>
      <c r="P776" s="7"/>
      <c r="Q776" s="7"/>
      <c r="R776" s="7"/>
      <c r="S776" s="7"/>
    </row>
    <row r="777" spans="2:19" ht="14.25" customHeight="1" x14ac:dyDescent="0.3">
      <c r="B777" s="12"/>
      <c r="F777" s="6"/>
      <c r="G777" s="6"/>
      <c r="H777" s="9"/>
      <c r="I777" s="9"/>
      <c r="J777" s="9"/>
      <c r="K777" s="7"/>
      <c r="L777" s="7"/>
      <c r="M777" s="8"/>
      <c r="O777" s="7"/>
      <c r="P777" s="7"/>
      <c r="Q777" s="7"/>
      <c r="R777" s="7"/>
      <c r="S777" s="7"/>
    </row>
    <row r="778" spans="2:19" ht="14.25" customHeight="1" x14ac:dyDescent="0.3">
      <c r="B778" s="12"/>
      <c r="F778" s="6"/>
      <c r="G778" s="6"/>
      <c r="H778" s="9"/>
      <c r="I778" s="9"/>
      <c r="J778" s="9"/>
      <c r="K778" s="7"/>
      <c r="L778" s="7"/>
      <c r="M778" s="8"/>
      <c r="O778" s="7"/>
      <c r="P778" s="7"/>
      <c r="Q778" s="7"/>
      <c r="R778" s="7"/>
      <c r="S778" s="7"/>
    </row>
    <row r="779" spans="2:19" ht="14.25" customHeight="1" x14ac:dyDescent="0.3">
      <c r="B779" s="12"/>
      <c r="F779" s="6"/>
      <c r="G779" s="6"/>
      <c r="H779" s="9"/>
      <c r="I779" s="9"/>
      <c r="J779" s="9"/>
      <c r="K779" s="7"/>
      <c r="L779" s="7"/>
      <c r="M779" s="8"/>
      <c r="O779" s="7"/>
      <c r="P779" s="7"/>
      <c r="Q779" s="7"/>
      <c r="R779" s="7"/>
      <c r="S779" s="7"/>
    </row>
    <row r="780" spans="2:19" ht="14.25" customHeight="1" x14ac:dyDescent="0.3">
      <c r="B780" s="12"/>
      <c r="F780" s="6"/>
      <c r="G780" s="6"/>
      <c r="H780" s="9"/>
      <c r="I780" s="9"/>
      <c r="J780" s="9"/>
      <c r="K780" s="7"/>
      <c r="L780" s="7"/>
      <c r="M780" s="8"/>
      <c r="O780" s="7"/>
      <c r="P780" s="7"/>
      <c r="Q780" s="7"/>
      <c r="R780" s="7"/>
      <c r="S780" s="7"/>
    </row>
    <row r="781" spans="2:19" ht="14.25" customHeight="1" x14ac:dyDescent="0.3">
      <c r="B781" s="12"/>
      <c r="F781" s="6"/>
      <c r="G781" s="6"/>
      <c r="H781" s="9"/>
      <c r="I781" s="9"/>
      <c r="J781" s="9"/>
      <c r="K781" s="7"/>
      <c r="L781" s="7"/>
      <c r="M781" s="8"/>
      <c r="O781" s="7"/>
      <c r="P781" s="7"/>
      <c r="Q781" s="7"/>
      <c r="R781" s="7"/>
      <c r="S781" s="7"/>
    </row>
    <row r="782" spans="2:19" ht="14.25" customHeight="1" x14ac:dyDescent="0.3">
      <c r="B782" s="12"/>
      <c r="F782" s="6"/>
      <c r="G782" s="6"/>
      <c r="H782" s="9"/>
      <c r="I782" s="9"/>
      <c r="J782" s="9"/>
      <c r="K782" s="7"/>
      <c r="L782" s="7"/>
      <c r="M782" s="8"/>
      <c r="O782" s="7"/>
      <c r="P782" s="7"/>
      <c r="Q782" s="7"/>
      <c r="R782" s="7"/>
      <c r="S782" s="7"/>
    </row>
    <row r="783" spans="2:19" ht="14.25" customHeight="1" x14ac:dyDescent="0.3">
      <c r="B783" s="12"/>
      <c r="F783" s="6"/>
      <c r="G783" s="6"/>
      <c r="H783" s="9"/>
      <c r="I783" s="9"/>
      <c r="J783" s="9"/>
      <c r="K783" s="7"/>
      <c r="L783" s="7"/>
      <c r="M783" s="8"/>
      <c r="O783" s="7"/>
      <c r="P783" s="7"/>
      <c r="Q783" s="7"/>
      <c r="R783" s="7"/>
      <c r="S783" s="7"/>
    </row>
    <row r="784" spans="2:19" ht="14.25" customHeight="1" x14ac:dyDescent="0.3">
      <c r="B784" s="12"/>
      <c r="F784" s="6"/>
      <c r="G784" s="6"/>
      <c r="H784" s="9"/>
      <c r="I784" s="9"/>
      <c r="J784" s="9"/>
      <c r="K784" s="7"/>
      <c r="L784" s="7"/>
      <c r="M784" s="8"/>
      <c r="O784" s="7"/>
      <c r="P784" s="7"/>
      <c r="Q784" s="7"/>
      <c r="R784" s="7"/>
      <c r="S784" s="7"/>
    </row>
    <row r="785" spans="2:19" ht="14.25" customHeight="1" x14ac:dyDescent="0.3">
      <c r="B785" s="12"/>
      <c r="F785" s="6"/>
      <c r="G785" s="6"/>
      <c r="H785" s="9"/>
      <c r="I785" s="9"/>
      <c r="J785" s="9"/>
      <c r="K785" s="7"/>
      <c r="L785" s="7"/>
      <c r="M785" s="8"/>
      <c r="O785" s="7"/>
      <c r="P785" s="7"/>
      <c r="Q785" s="7"/>
      <c r="R785" s="7"/>
      <c r="S785" s="7"/>
    </row>
    <row r="786" spans="2:19" ht="14.25" customHeight="1" x14ac:dyDescent="0.3">
      <c r="B786" s="12"/>
      <c r="F786" s="6"/>
      <c r="G786" s="6"/>
      <c r="H786" s="9"/>
      <c r="I786" s="9"/>
      <c r="J786" s="9"/>
      <c r="K786" s="7"/>
      <c r="L786" s="7"/>
      <c r="M786" s="8"/>
      <c r="O786" s="7"/>
      <c r="P786" s="7"/>
      <c r="Q786" s="7"/>
      <c r="R786" s="7"/>
      <c r="S786" s="7"/>
    </row>
    <row r="787" spans="2:19" ht="14.25" customHeight="1" x14ac:dyDescent="0.3">
      <c r="B787" s="12"/>
      <c r="F787" s="6"/>
      <c r="G787" s="6"/>
      <c r="H787" s="9"/>
      <c r="I787" s="9"/>
      <c r="J787" s="9"/>
      <c r="K787" s="7"/>
      <c r="L787" s="7"/>
      <c r="M787" s="8"/>
      <c r="O787" s="7"/>
      <c r="P787" s="7"/>
      <c r="Q787" s="7"/>
      <c r="R787" s="7"/>
      <c r="S787" s="7"/>
    </row>
    <row r="788" spans="2:19" ht="14.25" customHeight="1" x14ac:dyDescent="0.3">
      <c r="B788" s="12"/>
      <c r="F788" s="6"/>
      <c r="G788" s="6"/>
      <c r="H788" s="9"/>
      <c r="I788" s="9"/>
      <c r="J788" s="9"/>
      <c r="K788" s="7"/>
      <c r="L788" s="7"/>
      <c r="M788" s="8"/>
      <c r="O788" s="7"/>
      <c r="P788" s="7"/>
      <c r="Q788" s="7"/>
      <c r="R788" s="7"/>
      <c r="S788" s="7"/>
    </row>
    <row r="789" spans="2:19" ht="14.25" customHeight="1" x14ac:dyDescent="0.3">
      <c r="B789" s="12"/>
      <c r="F789" s="6"/>
      <c r="G789" s="6"/>
      <c r="H789" s="9"/>
      <c r="I789" s="9"/>
      <c r="J789" s="9"/>
      <c r="K789" s="7"/>
      <c r="L789" s="7"/>
      <c r="M789" s="8"/>
      <c r="O789" s="7"/>
      <c r="P789" s="7"/>
      <c r="Q789" s="7"/>
      <c r="R789" s="7"/>
      <c r="S789" s="7"/>
    </row>
    <row r="790" spans="2:19" ht="14.25" customHeight="1" x14ac:dyDescent="0.3">
      <c r="B790" s="12"/>
      <c r="F790" s="6"/>
      <c r="G790" s="6"/>
      <c r="H790" s="9"/>
      <c r="I790" s="9"/>
      <c r="J790" s="9"/>
      <c r="K790" s="7"/>
      <c r="L790" s="7"/>
      <c r="M790" s="8"/>
      <c r="O790" s="7"/>
      <c r="P790" s="7"/>
      <c r="Q790" s="7"/>
      <c r="R790" s="7"/>
      <c r="S790" s="7"/>
    </row>
    <row r="791" spans="2:19" ht="14.25" customHeight="1" x14ac:dyDescent="0.3">
      <c r="B791" s="12"/>
      <c r="F791" s="6"/>
      <c r="G791" s="6"/>
      <c r="H791" s="9"/>
      <c r="I791" s="9"/>
      <c r="J791" s="9"/>
      <c r="K791" s="7"/>
      <c r="L791" s="7"/>
      <c r="M791" s="8"/>
      <c r="O791" s="7"/>
      <c r="P791" s="7"/>
      <c r="Q791" s="7"/>
      <c r="R791" s="7"/>
      <c r="S791" s="7"/>
    </row>
    <row r="792" spans="2:19" ht="14.25" customHeight="1" x14ac:dyDescent="0.3">
      <c r="B792" s="12"/>
      <c r="F792" s="6"/>
      <c r="G792" s="6"/>
      <c r="H792" s="9"/>
      <c r="I792" s="9"/>
      <c r="J792" s="9"/>
      <c r="K792" s="7"/>
      <c r="L792" s="7"/>
      <c r="M792" s="8"/>
      <c r="O792" s="7"/>
      <c r="P792" s="7"/>
      <c r="Q792" s="7"/>
      <c r="R792" s="7"/>
      <c r="S792" s="7"/>
    </row>
    <row r="793" spans="2:19" ht="14.25" customHeight="1" x14ac:dyDescent="0.3">
      <c r="B793" s="12"/>
      <c r="F793" s="6"/>
      <c r="G793" s="6"/>
      <c r="H793" s="9"/>
      <c r="I793" s="9"/>
      <c r="J793" s="9"/>
      <c r="K793" s="7"/>
      <c r="L793" s="7"/>
      <c r="M793" s="8"/>
      <c r="O793" s="7"/>
      <c r="P793" s="7"/>
      <c r="Q793" s="7"/>
      <c r="R793" s="7"/>
      <c r="S793" s="7"/>
    </row>
    <row r="794" spans="2:19" ht="14.25" customHeight="1" x14ac:dyDescent="0.3">
      <c r="B794" s="12"/>
      <c r="F794" s="6"/>
      <c r="G794" s="6"/>
      <c r="H794" s="9"/>
      <c r="I794" s="9"/>
      <c r="J794" s="9"/>
      <c r="K794" s="7"/>
      <c r="L794" s="7"/>
      <c r="M794" s="8"/>
      <c r="O794" s="7"/>
      <c r="P794" s="7"/>
      <c r="Q794" s="7"/>
      <c r="R794" s="7"/>
      <c r="S794" s="7"/>
    </row>
    <row r="795" spans="2:19" ht="14.25" customHeight="1" x14ac:dyDescent="0.3">
      <c r="B795" s="12"/>
      <c r="F795" s="6"/>
      <c r="G795" s="6"/>
      <c r="H795" s="9"/>
      <c r="I795" s="9"/>
      <c r="J795" s="9"/>
      <c r="K795" s="7"/>
      <c r="L795" s="7"/>
      <c r="M795" s="8"/>
      <c r="O795" s="7"/>
      <c r="P795" s="7"/>
      <c r="Q795" s="7"/>
      <c r="R795" s="7"/>
      <c r="S795" s="7"/>
    </row>
    <row r="796" spans="2:19" ht="14.25" customHeight="1" x14ac:dyDescent="0.3">
      <c r="B796" s="12"/>
      <c r="F796" s="6"/>
      <c r="G796" s="6"/>
      <c r="H796" s="9"/>
      <c r="I796" s="9"/>
      <c r="J796" s="9"/>
      <c r="K796" s="7"/>
      <c r="L796" s="7"/>
      <c r="M796" s="8"/>
      <c r="O796" s="7"/>
      <c r="P796" s="7"/>
      <c r="Q796" s="7"/>
      <c r="R796" s="7"/>
      <c r="S796" s="7"/>
    </row>
    <row r="797" spans="2:19" ht="14.25" customHeight="1" x14ac:dyDescent="0.3">
      <c r="B797" s="12"/>
      <c r="F797" s="6"/>
      <c r="G797" s="6"/>
      <c r="H797" s="9"/>
      <c r="I797" s="9"/>
      <c r="J797" s="9"/>
      <c r="K797" s="7"/>
      <c r="L797" s="7"/>
      <c r="M797" s="8"/>
      <c r="O797" s="7"/>
      <c r="P797" s="7"/>
      <c r="Q797" s="7"/>
      <c r="R797" s="7"/>
      <c r="S797" s="7"/>
    </row>
    <row r="798" spans="2:19" ht="14.25" customHeight="1" x14ac:dyDescent="0.3">
      <c r="B798" s="12"/>
      <c r="F798" s="6"/>
      <c r="G798" s="6"/>
      <c r="H798" s="9"/>
      <c r="I798" s="9"/>
      <c r="J798" s="9"/>
      <c r="K798" s="7"/>
      <c r="L798" s="7"/>
      <c r="M798" s="8"/>
      <c r="O798" s="7"/>
      <c r="P798" s="7"/>
      <c r="Q798" s="7"/>
      <c r="R798" s="7"/>
      <c r="S798" s="7"/>
    </row>
    <row r="799" spans="2:19" ht="14.25" customHeight="1" x14ac:dyDescent="0.3">
      <c r="B799" s="12"/>
      <c r="F799" s="6"/>
      <c r="G799" s="6"/>
      <c r="H799" s="9"/>
      <c r="I799" s="9"/>
      <c r="J799" s="9"/>
      <c r="K799" s="7"/>
      <c r="L799" s="7"/>
      <c r="M799" s="8"/>
      <c r="O799" s="7"/>
      <c r="P799" s="7"/>
      <c r="Q799" s="7"/>
      <c r="R799" s="7"/>
      <c r="S799" s="7"/>
    </row>
    <row r="800" spans="2:19" ht="14.25" customHeight="1" x14ac:dyDescent="0.3">
      <c r="B800" s="12"/>
      <c r="F800" s="6"/>
      <c r="G800" s="6"/>
      <c r="H800" s="9"/>
      <c r="I800" s="9"/>
      <c r="J800" s="9"/>
      <c r="K800" s="7"/>
      <c r="L800" s="7"/>
      <c r="M800" s="8"/>
      <c r="O800" s="7"/>
      <c r="P800" s="7"/>
      <c r="Q800" s="7"/>
      <c r="R800" s="7"/>
      <c r="S800" s="7"/>
    </row>
    <row r="801" spans="2:19" ht="14.25" customHeight="1" x14ac:dyDescent="0.3">
      <c r="B801" s="12"/>
      <c r="F801" s="6"/>
      <c r="G801" s="6"/>
      <c r="H801" s="9"/>
      <c r="I801" s="9"/>
      <c r="J801" s="9"/>
      <c r="K801" s="7"/>
      <c r="L801" s="7"/>
      <c r="M801" s="8"/>
      <c r="O801" s="7"/>
      <c r="P801" s="7"/>
      <c r="Q801" s="7"/>
      <c r="R801" s="7"/>
      <c r="S801" s="7"/>
    </row>
    <row r="802" spans="2:19" ht="14.25" customHeight="1" x14ac:dyDescent="0.3">
      <c r="B802" s="12"/>
      <c r="F802" s="6"/>
      <c r="G802" s="6"/>
      <c r="H802" s="9"/>
      <c r="I802" s="9"/>
      <c r="J802" s="9"/>
      <c r="K802" s="7"/>
      <c r="L802" s="7"/>
      <c r="M802" s="8"/>
      <c r="O802" s="7"/>
      <c r="P802" s="7"/>
      <c r="Q802" s="7"/>
      <c r="R802" s="7"/>
      <c r="S802" s="7"/>
    </row>
    <row r="803" spans="2:19" ht="14.25" customHeight="1" x14ac:dyDescent="0.3">
      <c r="B803" s="12"/>
      <c r="F803" s="6"/>
      <c r="G803" s="6"/>
      <c r="H803" s="9"/>
      <c r="I803" s="9"/>
      <c r="J803" s="9"/>
      <c r="K803" s="7"/>
      <c r="L803" s="7"/>
      <c r="M803" s="8"/>
      <c r="O803" s="7"/>
      <c r="P803" s="7"/>
      <c r="Q803" s="7"/>
      <c r="R803" s="7"/>
      <c r="S803" s="7"/>
    </row>
    <row r="804" spans="2:19" ht="14.25" customHeight="1" x14ac:dyDescent="0.3">
      <c r="B804" s="12"/>
      <c r="F804" s="6"/>
      <c r="G804" s="6"/>
      <c r="H804" s="9"/>
      <c r="I804" s="9"/>
      <c r="J804" s="9"/>
      <c r="K804" s="7"/>
      <c r="L804" s="7"/>
      <c r="M804" s="8"/>
      <c r="O804" s="7"/>
      <c r="P804" s="7"/>
      <c r="Q804" s="7"/>
      <c r="R804" s="7"/>
      <c r="S804" s="7"/>
    </row>
    <row r="805" spans="2:19" ht="14.25" customHeight="1" x14ac:dyDescent="0.3">
      <c r="B805" s="12"/>
      <c r="F805" s="6"/>
      <c r="G805" s="6"/>
      <c r="H805" s="9"/>
      <c r="I805" s="9"/>
      <c r="J805" s="9"/>
      <c r="K805" s="7"/>
      <c r="L805" s="7"/>
      <c r="M805" s="8"/>
      <c r="O805" s="7"/>
      <c r="P805" s="7"/>
      <c r="Q805" s="7"/>
      <c r="R805" s="7"/>
      <c r="S805" s="7"/>
    </row>
    <row r="806" spans="2:19" ht="14.25" customHeight="1" x14ac:dyDescent="0.3">
      <c r="B806" s="12"/>
      <c r="F806" s="6"/>
      <c r="G806" s="6"/>
      <c r="H806" s="9"/>
      <c r="I806" s="9"/>
      <c r="J806" s="9"/>
      <c r="K806" s="7"/>
      <c r="L806" s="7"/>
      <c r="M806" s="8"/>
      <c r="O806" s="7"/>
      <c r="P806" s="7"/>
      <c r="Q806" s="7"/>
      <c r="R806" s="7"/>
      <c r="S806" s="7"/>
    </row>
    <row r="807" spans="2:19" ht="14.25" customHeight="1" x14ac:dyDescent="0.3">
      <c r="B807" s="12"/>
      <c r="F807" s="6"/>
      <c r="G807" s="6"/>
      <c r="H807" s="9"/>
      <c r="I807" s="9"/>
      <c r="J807" s="9"/>
      <c r="K807" s="7"/>
      <c r="L807" s="7"/>
      <c r="M807" s="8"/>
      <c r="O807" s="7"/>
      <c r="P807" s="7"/>
      <c r="Q807" s="7"/>
      <c r="R807" s="7"/>
      <c r="S807" s="7"/>
    </row>
    <row r="808" spans="2:19" ht="14.25" customHeight="1" x14ac:dyDescent="0.3">
      <c r="B808" s="12"/>
      <c r="F808" s="6"/>
      <c r="G808" s="6"/>
      <c r="H808" s="9"/>
      <c r="I808" s="9"/>
      <c r="J808" s="9"/>
      <c r="K808" s="7"/>
      <c r="L808" s="7"/>
      <c r="M808" s="8"/>
      <c r="O808" s="7"/>
      <c r="P808" s="7"/>
      <c r="Q808" s="7"/>
      <c r="R808" s="7"/>
      <c r="S808" s="7"/>
    </row>
    <row r="809" spans="2:19" ht="14.25" customHeight="1" x14ac:dyDescent="0.3">
      <c r="B809" s="12"/>
      <c r="F809" s="6"/>
      <c r="G809" s="6"/>
      <c r="H809" s="9"/>
      <c r="I809" s="9"/>
      <c r="J809" s="9"/>
      <c r="K809" s="7"/>
      <c r="L809" s="7"/>
      <c r="M809" s="8"/>
      <c r="O809" s="7"/>
      <c r="P809" s="7"/>
      <c r="Q809" s="7"/>
      <c r="R809" s="7"/>
      <c r="S809" s="7"/>
    </row>
    <row r="810" spans="2:19" ht="14.25" customHeight="1" x14ac:dyDescent="0.3">
      <c r="B810" s="12"/>
      <c r="F810" s="6"/>
      <c r="G810" s="6"/>
      <c r="H810" s="9"/>
      <c r="I810" s="9"/>
      <c r="J810" s="9"/>
      <c r="K810" s="7"/>
      <c r="L810" s="7"/>
      <c r="M810" s="8"/>
      <c r="O810" s="7"/>
      <c r="P810" s="7"/>
      <c r="Q810" s="7"/>
      <c r="R810" s="7"/>
      <c r="S810" s="7"/>
    </row>
    <row r="811" spans="2:19" ht="14.25" customHeight="1" x14ac:dyDescent="0.3">
      <c r="B811" s="12"/>
      <c r="F811" s="6"/>
      <c r="G811" s="6"/>
      <c r="H811" s="9"/>
      <c r="I811" s="9"/>
      <c r="J811" s="9"/>
      <c r="K811" s="7"/>
      <c r="L811" s="7"/>
      <c r="M811" s="8"/>
      <c r="O811" s="7"/>
      <c r="P811" s="7"/>
      <c r="Q811" s="7"/>
      <c r="R811" s="7"/>
      <c r="S811" s="7"/>
    </row>
    <row r="812" spans="2:19" ht="14.25" customHeight="1" x14ac:dyDescent="0.3">
      <c r="B812" s="12"/>
      <c r="F812" s="6"/>
      <c r="G812" s="6"/>
      <c r="H812" s="9"/>
      <c r="I812" s="9"/>
      <c r="J812" s="9"/>
      <c r="K812" s="7"/>
      <c r="L812" s="7"/>
      <c r="M812" s="8"/>
      <c r="O812" s="7"/>
      <c r="P812" s="7"/>
      <c r="Q812" s="7"/>
      <c r="R812" s="7"/>
      <c r="S812" s="7"/>
    </row>
    <row r="813" spans="2:19" ht="14.25" customHeight="1" x14ac:dyDescent="0.3">
      <c r="B813" s="12"/>
      <c r="F813" s="6"/>
      <c r="G813" s="6"/>
      <c r="H813" s="9"/>
      <c r="I813" s="9"/>
      <c r="J813" s="9"/>
      <c r="K813" s="7"/>
      <c r="L813" s="7"/>
      <c r="M813" s="8"/>
      <c r="O813" s="7"/>
      <c r="P813" s="7"/>
      <c r="Q813" s="7"/>
      <c r="R813" s="7"/>
      <c r="S813" s="7"/>
    </row>
    <row r="814" spans="2:19" ht="14.25" customHeight="1" x14ac:dyDescent="0.3">
      <c r="B814" s="12"/>
      <c r="F814" s="6"/>
      <c r="G814" s="6"/>
      <c r="H814" s="9"/>
      <c r="I814" s="9"/>
      <c r="J814" s="9"/>
      <c r="K814" s="7"/>
      <c r="L814" s="7"/>
      <c r="M814" s="8"/>
      <c r="O814" s="7"/>
      <c r="P814" s="7"/>
      <c r="Q814" s="7"/>
      <c r="R814" s="7"/>
      <c r="S814" s="7"/>
    </row>
    <row r="815" spans="2:19" ht="14.25" customHeight="1" x14ac:dyDescent="0.3">
      <c r="B815" s="12"/>
      <c r="F815" s="6"/>
      <c r="G815" s="6"/>
      <c r="H815" s="9"/>
      <c r="I815" s="9"/>
      <c r="J815" s="9"/>
      <c r="K815" s="7"/>
      <c r="L815" s="7"/>
      <c r="M815" s="8"/>
      <c r="O815" s="7"/>
      <c r="P815" s="7"/>
      <c r="Q815" s="7"/>
      <c r="R815" s="7"/>
      <c r="S815" s="7"/>
    </row>
    <row r="816" spans="2:19" ht="14.25" customHeight="1" x14ac:dyDescent="0.3">
      <c r="B816" s="12"/>
      <c r="F816" s="6"/>
      <c r="G816" s="6"/>
      <c r="H816" s="9"/>
      <c r="I816" s="9"/>
      <c r="J816" s="9"/>
      <c r="K816" s="7"/>
      <c r="L816" s="7"/>
      <c r="M816" s="8"/>
      <c r="O816" s="7"/>
      <c r="P816" s="7"/>
      <c r="Q816" s="7"/>
      <c r="R816" s="7"/>
      <c r="S816" s="7"/>
    </row>
    <row r="817" spans="2:19" ht="14.25" customHeight="1" x14ac:dyDescent="0.3">
      <c r="B817" s="12"/>
      <c r="F817" s="6"/>
      <c r="G817" s="6"/>
      <c r="H817" s="9"/>
      <c r="I817" s="9"/>
      <c r="J817" s="9"/>
      <c r="K817" s="7"/>
      <c r="L817" s="7"/>
      <c r="M817" s="8"/>
      <c r="O817" s="7"/>
      <c r="P817" s="7"/>
      <c r="Q817" s="7"/>
      <c r="R817" s="7"/>
      <c r="S817" s="7"/>
    </row>
    <row r="818" spans="2:19" ht="14.25" customHeight="1" x14ac:dyDescent="0.3">
      <c r="B818" s="12"/>
      <c r="F818" s="6"/>
      <c r="G818" s="6"/>
      <c r="H818" s="9"/>
      <c r="I818" s="9"/>
      <c r="J818" s="9"/>
      <c r="K818" s="7"/>
      <c r="L818" s="7"/>
      <c r="M818" s="8"/>
      <c r="O818" s="7"/>
      <c r="P818" s="7"/>
      <c r="Q818" s="7"/>
      <c r="R818" s="7"/>
      <c r="S818" s="7"/>
    </row>
    <row r="819" spans="2:19" ht="14.25" customHeight="1" x14ac:dyDescent="0.3">
      <c r="B819" s="12"/>
      <c r="F819" s="6"/>
      <c r="G819" s="6"/>
      <c r="H819" s="9"/>
      <c r="I819" s="9"/>
      <c r="J819" s="9"/>
      <c r="K819" s="7"/>
      <c r="L819" s="7"/>
      <c r="M819" s="8"/>
      <c r="O819" s="7"/>
      <c r="P819" s="7"/>
      <c r="Q819" s="7"/>
      <c r="R819" s="7"/>
      <c r="S819" s="7"/>
    </row>
    <row r="820" spans="2:19" ht="14.25" customHeight="1" x14ac:dyDescent="0.3">
      <c r="B820" s="12"/>
      <c r="F820" s="6"/>
      <c r="G820" s="6"/>
      <c r="H820" s="9"/>
      <c r="I820" s="9"/>
      <c r="J820" s="9"/>
      <c r="K820" s="7"/>
      <c r="L820" s="7"/>
      <c r="M820" s="8"/>
      <c r="O820" s="7"/>
      <c r="P820" s="7"/>
      <c r="Q820" s="7"/>
      <c r="R820" s="7"/>
      <c r="S820" s="7"/>
    </row>
    <row r="821" spans="2:19" ht="14.25" customHeight="1" x14ac:dyDescent="0.3">
      <c r="B821" s="12"/>
      <c r="F821" s="6"/>
      <c r="G821" s="6"/>
      <c r="H821" s="9"/>
      <c r="I821" s="9"/>
      <c r="J821" s="9"/>
      <c r="K821" s="7"/>
      <c r="L821" s="7"/>
      <c r="M821" s="8"/>
      <c r="O821" s="7"/>
      <c r="P821" s="7"/>
      <c r="Q821" s="7"/>
      <c r="R821" s="7"/>
      <c r="S821" s="7"/>
    </row>
    <row r="822" spans="2:19" ht="14.25" customHeight="1" x14ac:dyDescent="0.3">
      <c r="B822" s="12"/>
      <c r="F822" s="6"/>
      <c r="G822" s="6"/>
      <c r="H822" s="9"/>
      <c r="I822" s="9"/>
      <c r="J822" s="9"/>
      <c r="K822" s="7"/>
      <c r="L822" s="7"/>
      <c r="M822" s="8"/>
      <c r="O822" s="7"/>
      <c r="P822" s="7"/>
      <c r="Q822" s="7"/>
      <c r="R822" s="7"/>
      <c r="S822" s="7"/>
    </row>
    <row r="823" spans="2:19" ht="14.25" customHeight="1" x14ac:dyDescent="0.3">
      <c r="B823" s="12"/>
      <c r="F823" s="6"/>
      <c r="G823" s="6"/>
      <c r="H823" s="9"/>
      <c r="I823" s="9"/>
      <c r="J823" s="9"/>
      <c r="K823" s="7"/>
      <c r="L823" s="7"/>
      <c r="M823" s="8"/>
      <c r="O823" s="7"/>
      <c r="P823" s="7"/>
      <c r="Q823" s="7"/>
      <c r="R823" s="7"/>
      <c r="S823" s="7"/>
    </row>
    <row r="824" spans="2:19" ht="14.25" customHeight="1" x14ac:dyDescent="0.3">
      <c r="B824" s="12"/>
      <c r="F824" s="6"/>
      <c r="G824" s="6"/>
      <c r="H824" s="9"/>
      <c r="I824" s="9"/>
      <c r="J824" s="9"/>
      <c r="K824" s="7"/>
      <c r="L824" s="7"/>
      <c r="M824" s="8"/>
      <c r="O824" s="7"/>
      <c r="P824" s="7"/>
      <c r="Q824" s="7"/>
      <c r="R824" s="7"/>
      <c r="S824" s="7"/>
    </row>
    <row r="825" spans="2:19" ht="14.25" customHeight="1" x14ac:dyDescent="0.3">
      <c r="B825" s="12"/>
      <c r="F825" s="6"/>
      <c r="G825" s="6"/>
      <c r="H825" s="9"/>
      <c r="I825" s="9"/>
      <c r="J825" s="9"/>
      <c r="K825" s="7"/>
      <c r="L825" s="7"/>
      <c r="M825" s="8"/>
      <c r="O825" s="7"/>
      <c r="P825" s="7"/>
      <c r="Q825" s="7"/>
      <c r="R825" s="7"/>
      <c r="S825" s="7"/>
    </row>
    <row r="826" spans="2:19" ht="14.25" customHeight="1" x14ac:dyDescent="0.3">
      <c r="B826" s="12"/>
      <c r="F826" s="6"/>
      <c r="G826" s="6"/>
      <c r="H826" s="9"/>
      <c r="I826" s="9"/>
      <c r="J826" s="9"/>
      <c r="K826" s="7"/>
      <c r="L826" s="7"/>
      <c r="M826" s="8"/>
      <c r="O826" s="7"/>
      <c r="P826" s="7"/>
      <c r="Q826" s="7"/>
      <c r="R826" s="7"/>
      <c r="S826" s="7"/>
    </row>
    <row r="827" spans="2:19" ht="14.25" customHeight="1" x14ac:dyDescent="0.3">
      <c r="B827" s="12"/>
      <c r="F827" s="6"/>
      <c r="G827" s="6"/>
      <c r="H827" s="9"/>
      <c r="I827" s="9"/>
      <c r="J827" s="9"/>
      <c r="K827" s="7"/>
      <c r="L827" s="7"/>
      <c r="M827" s="8"/>
      <c r="O827" s="7"/>
      <c r="P827" s="7"/>
      <c r="Q827" s="7"/>
      <c r="R827" s="7"/>
      <c r="S827" s="7"/>
    </row>
    <row r="828" spans="2:19" ht="14.25" customHeight="1" x14ac:dyDescent="0.3">
      <c r="B828" s="12"/>
      <c r="F828" s="6"/>
      <c r="G828" s="6"/>
      <c r="H828" s="9"/>
      <c r="I828" s="9"/>
      <c r="J828" s="9"/>
      <c r="K828" s="7"/>
      <c r="L828" s="7"/>
      <c r="M828" s="8"/>
      <c r="O828" s="7"/>
      <c r="P828" s="7"/>
      <c r="Q828" s="7"/>
      <c r="R828" s="7"/>
      <c r="S828" s="7"/>
    </row>
    <row r="829" spans="2:19" ht="14.25" customHeight="1" x14ac:dyDescent="0.3">
      <c r="B829" s="12"/>
      <c r="F829" s="6"/>
      <c r="G829" s="6"/>
      <c r="H829" s="9"/>
      <c r="I829" s="9"/>
      <c r="J829" s="9"/>
      <c r="K829" s="7"/>
      <c r="L829" s="7"/>
      <c r="M829" s="8"/>
      <c r="O829" s="7"/>
      <c r="P829" s="7"/>
      <c r="Q829" s="7"/>
      <c r="R829" s="7"/>
      <c r="S829" s="7"/>
    </row>
    <row r="830" spans="2:19" ht="14.25" customHeight="1" x14ac:dyDescent="0.3">
      <c r="B830" s="12"/>
      <c r="F830" s="6"/>
      <c r="G830" s="6"/>
      <c r="H830" s="9"/>
      <c r="I830" s="9"/>
      <c r="J830" s="9"/>
      <c r="K830" s="7"/>
      <c r="L830" s="7"/>
      <c r="M830" s="8"/>
      <c r="O830" s="7"/>
      <c r="P830" s="7"/>
      <c r="Q830" s="7"/>
      <c r="R830" s="7"/>
      <c r="S830" s="7"/>
    </row>
    <row r="831" spans="2:19" ht="14.25" customHeight="1" x14ac:dyDescent="0.3">
      <c r="B831" s="12"/>
      <c r="F831" s="6"/>
      <c r="G831" s="6"/>
      <c r="H831" s="9"/>
      <c r="I831" s="9"/>
      <c r="J831" s="9"/>
      <c r="K831" s="7"/>
      <c r="L831" s="7"/>
      <c r="M831" s="8"/>
      <c r="O831" s="7"/>
      <c r="P831" s="7"/>
      <c r="Q831" s="7"/>
      <c r="R831" s="7"/>
      <c r="S831" s="7"/>
    </row>
    <row r="832" spans="2:19" ht="14.25" customHeight="1" x14ac:dyDescent="0.3">
      <c r="B832" s="12"/>
      <c r="F832" s="6"/>
      <c r="G832" s="6"/>
      <c r="H832" s="9"/>
      <c r="I832" s="9"/>
      <c r="J832" s="9"/>
      <c r="K832" s="7"/>
      <c r="L832" s="7"/>
      <c r="M832" s="8"/>
      <c r="O832" s="7"/>
      <c r="P832" s="7"/>
      <c r="Q832" s="7"/>
      <c r="R832" s="7"/>
      <c r="S832" s="7"/>
    </row>
    <row r="833" spans="2:19" ht="14.25" customHeight="1" x14ac:dyDescent="0.3">
      <c r="B833" s="12"/>
      <c r="F833" s="6"/>
      <c r="G833" s="6"/>
      <c r="H833" s="9"/>
      <c r="I833" s="9"/>
      <c r="J833" s="9"/>
      <c r="K833" s="7"/>
      <c r="L833" s="7"/>
      <c r="M833" s="8"/>
      <c r="O833" s="7"/>
      <c r="P833" s="7"/>
      <c r="Q833" s="7"/>
      <c r="R833" s="7"/>
      <c r="S833" s="7"/>
    </row>
    <row r="834" spans="2:19" ht="14.25" customHeight="1" x14ac:dyDescent="0.3">
      <c r="B834" s="12"/>
      <c r="F834" s="6"/>
      <c r="G834" s="6"/>
      <c r="H834" s="9"/>
      <c r="I834" s="9"/>
      <c r="J834" s="9"/>
      <c r="K834" s="7"/>
      <c r="L834" s="7"/>
      <c r="M834" s="8"/>
      <c r="O834" s="7"/>
      <c r="P834" s="7"/>
      <c r="Q834" s="7"/>
      <c r="R834" s="7"/>
      <c r="S834" s="7"/>
    </row>
    <row r="835" spans="2:19" ht="14.25" customHeight="1" x14ac:dyDescent="0.3">
      <c r="B835" s="12"/>
      <c r="F835" s="6"/>
      <c r="G835" s="6"/>
      <c r="H835" s="9"/>
      <c r="I835" s="9"/>
      <c r="J835" s="9"/>
      <c r="K835" s="7"/>
      <c r="L835" s="7"/>
      <c r="M835" s="8"/>
      <c r="O835" s="7"/>
      <c r="P835" s="7"/>
      <c r="Q835" s="7"/>
      <c r="R835" s="7"/>
      <c r="S835" s="7"/>
    </row>
    <row r="836" spans="2:19" ht="14.25" customHeight="1" x14ac:dyDescent="0.3">
      <c r="B836" s="12"/>
      <c r="F836" s="6"/>
      <c r="G836" s="6"/>
      <c r="H836" s="9"/>
      <c r="I836" s="9"/>
      <c r="J836" s="9"/>
      <c r="K836" s="7"/>
      <c r="L836" s="7"/>
      <c r="M836" s="8"/>
      <c r="O836" s="7"/>
      <c r="P836" s="7"/>
      <c r="Q836" s="7"/>
      <c r="R836" s="7"/>
      <c r="S836" s="7"/>
    </row>
    <row r="837" spans="2:19" ht="14.25" customHeight="1" x14ac:dyDescent="0.3">
      <c r="B837" s="12"/>
      <c r="F837" s="6"/>
      <c r="G837" s="6"/>
      <c r="H837" s="9"/>
      <c r="I837" s="9"/>
      <c r="J837" s="9"/>
      <c r="K837" s="7"/>
      <c r="L837" s="7"/>
      <c r="M837" s="8"/>
      <c r="O837" s="7"/>
      <c r="P837" s="7"/>
      <c r="Q837" s="7"/>
      <c r="R837" s="7"/>
      <c r="S837" s="7"/>
    </row>
    <row r="838" spans="2:19" ht="14.25" customHeight="1" x14ac:dyDescent="0.3">
      <c r="B838" s="12"/>
      <c r="F838" s="6"/>
      <c r="G838" s="6"/>
      <c r="H838" s="9"/>
      <c r="I838" s="9"/>
      <c r="J838" s="9"/>
      <c r="K838" s="7"/>
      <c r="L838" s="7"/>
      <c r="M838" s="8"/>
      <c r="O838" s="7"/>
      <c r="P838" s="7"/>
      <c r="Q838" s="7"/>
      <c r="R838" s="7"/>
      <c r="S838" s="7"/>
    </row>
    <row r="839" spans="2:19" ht="14.25" customHeight="1" x14ac:dyDescent="0.3">
      <c r="B839" s="12"/>
      <c r="F839" s="6"/>
      <c r="G839" s="6"/>
      <c r="H839" s="9"/>
      <c r="I839" s="9"/>
      <c r="J839" s="9"/>
      <c r="K839" s="7"/>
      <c r="L839" s="7"/>
      <c r="M839" s="8"/>
      <c r="O839" s="7"/>
      <c r="P839" s="7"/>
      <c r="Q839" s="7"/>
      <c r="R839" s="7"/>
      <c r="S839" s="7"/>
    </row>
    <row r="840" spans="2:19" ht="14.25" customHeight="1" x14ac:dyDescent="0.3">
      <c r="B840" s="12"/>
      <c r="F840" s="6"/>
      <c r="G840" s="6"/>
      <c r="H840" s="9"/>
      <c r="I840" s="9"/>
      <c r="J840" s="9"/>
      <c r="K840" s="7"/>
      <c r="L840" s="7"/>
      <c r="M840" s="8"/>
      <c r="O840" s="7"/>
      <c r="P840" s="7"/>
      <c r="Q840" s="7"/>
      <c r="R840" s="7"/>
      <c r="S840" s="7"/>
    </row>
    <row r="841" spans="2:19" ht="14.25" customHeight="1" x14ac:dyDescent="0.3">
      <c r="B841" s="12"/>
      <c r="F841" s="6"/>
      <c r="G841" s="6"/>
      <c r="H841" s="9"/>
      <c r="I841" s="9"/>
      <c r="J841" s="9"/>
      <c r="K841" s="7"/>
      <c r="L841" s="7"/>
      <c r="M841" s="8"/>
      <c r="O841" s="7"/>
      <c r="P841" s="7"/>
      <c r="Q841" s="7"/>
      <c r="R841" s="7"/>
      <c r="S841" s="7"/>
    </row>
    <row r="842" spans="2:19" ht="14.25" customHeight="1" x14ac:dyDescent="0.3">
      <c r="B842" s="12"/>
      <c r="F842" s="6"/>
      <c r="G842" s="6"/>
      <c r="H842" s="9"/>
      <c r="I842" s="9"/>
      <c r="J842" s="9"/>
      <c r="K842" s="7"/>
      <c r="L842" s="7"/>
      <c r="M842" s="8"/>
      <c r="O842" s="7"/>
      <c r="P842" s="7"/>
      <c r="Q842" s="7"/>
      <c r="R842" s="7"/>
      <c r="S842" s="7"/>
    </row>
    <row r="843" spans="2:19" ht="14.25" customHeight="1" x14ac:dyDescent="0.3">
      <c r="B843" s="12"/>
      <c r="F843" s="6"/>
      <c r="G843" s="6"/>
      <c r="H843" s="9"/>
      <c r="I843" s="9"/>
      <c r="J843" s="9"/>
      <c r="K843" s="7"/>
      <c r="L843" s="7"/>
      <c r="M843" s="8"/>
      <c r="O843" s="7"/>
      <c r="P843" s="7"/>
      <c r="Q843" s="7"/>
      <c r="R843" s="7"/>
      <c r="S843" s="7"/>
    </row>
    <row r="844" spans="2:19" ht="14.25" customHeight="1" x14ac:dyDescent="0.3">
      <c r="B844" s="12"/>
      <c r="F844" s="6"/>
      <c r="G844" s="6"/>
      <c r="H844" s="9"/>
      <c r="I844" s="9"/>
      <c r="J844" s="9"/>
      <c r="K844" s="7"/>
      <c r="L844" s="7"/>
      <c r="M844" s="8"/>
      <c r="O844" s="7"/>
      <c r="P844" s="7"/>
      <c r="Q844" s="7"/>
      <c r="R844" s="7"/>
      <c r="S844" s="7"/>
    </row>
    <row r="845" spans="2:19" ht="14.25" customHeight="1" x14ac:dyDescent="0.3">
      <c r="B845" s="12"/>
      <c r="F845" s="6"/>
      <c r="G845" s="6"/>
      <c r="H845" s="9"/>
      <c r="I845" s="9"/>
      <c r="J845" s="9"/>
      <c r="K845" s="7"/>
      <c r="L845" s="7"/>
      <c r="M845" s="8"/>
      <c r="O845" s="7"/>
      <c r="P845" s="7"/>
      <c r="Q845" s="7"/>
      <c r="R845" s="7"/>
      <c r="S845" s="7"/>
    </row>
    <row r="846" spans="2:19" ht="14.25" customHeight="1" x14ac:dyDescent="0.3">
      <c r="B846" s="12"/>
      <c r="F846" s="6"/>
      <c r="G846" s="6"/>
      <c r="H846" s="9"/>
      <c r="I846" s="9"/>
      <c r="J846" s="9"/>
      <c r="K846" s="7"/>
      <c r="L846" s="7"/>
      <c r="M846" s="8"/>
      <c r="O846" s="7"/>
      <c r="P846" s="7"/>
      <c r="Q846" s="7"/>
      <c r="R846" s="7"/>
      <c r="S846" s="7"/>
    </row>
    <row r="847" spans="2:19" ht="14.25" customHeight="1" x14ac:dyDescent="0.3">
      <c r="B847" s="12"/>
      <c r="F847" s="6"/>
      <c r="G847" s="6"/>
      <c r="H847" s="9"/>
      <c r="I847" s="9"/>
      <c r="J847" s="9"/>
      <c r="K847" s="7"/>
      <c r="L847" s="7"/>
      <c r="M847" s="8"/>
      <c r="O847" s="7"/>
      <c r="P847" s="7"/>
      <c r="Q847" s="7"/>
      <c r="R847" s="7"/>
      <c r="S847" s="7"/>
    </row>
    <row r="848" spans="2:19" ht="14.25" customHeight="1" x14ac:dyDescent="0.3">
      <c r="B848" s="12"/>
      <c r="F848" s="6"/>
      <c r="G848" s="6"/>
      <c r="H848" s="9"/>
      <c r="I848" s="9"/>
      <c r="J848" s="9"/>
      <c r="K848" s="7"/>
      <c r="L848" s="7"/>
      <c r="M848" s="8"/>
      <c r="O848" s="7"/>
      <c r="P848" s="7"/>
      <c r="Q848" s="7"/>
      <c r="R848" s="7"/>
      <c r="S848" s="7"/>
    </row>
    <row r="849" spans="2:19" ht="14.25" customHeight="1" x14ac:dyDescent="0.3">
      <c r="B849" s="12"/>
      <c r="F849" s="6"/>
      <c r="G849" s="6"/>
      <c r="H849" s="9"/>
      <c r="I849" s="9"/>
      <c r="J849" s="9"/>
      <c r="K849" s="7"/>
      <c r="L849" s="7"/>
      <c r="M849" s="8"/>
      <c r="O849" s="7"/>
      <c r="P849" s="7"/>
      <c r="Q849" s="7"/>
      <c r="R849" s="7"/>
      <c r="S849" s="7"/>
    </row>
    <row r="850" spans="2:19" ht="14.25" customHeight="1" x14ac:dyDescent="0.3">
      <c r="B850" s="12"/>
      <c r="F850" s="6"/>
      <c r="G850" s="6"/>
      <c r="H850" s="9"/>
      <c r="I850" s="9"/>
      <c r="J850" s="9"/>
      <c r="K850" s="7"/>
      <c r="L850" s="7"/>
      <c r="M850" s="8"/>
      <c r="O850" s="7"/>
      <c r="P850" s="7"/>
      <c r="Q850" s="7"/>
      <c r="R850" s="7"/>
      <c r="S850" s="7"/>
    </row>
    <row r="851" spans="2:19" ht="14.25" customHeight="1" x14ac:dyDescent="0.3">
      <c r="B851" s="12"/>
      <c r="F851" s="6"/>
      <c r="G851" s="6"/>
      <c r="H851" s="9"/>
      <c r="I851" s="9"/>
      <c r="J851" s="9"/>
      <c r="K851" s="7"/>
      <c r="L851" s="7"/>
      <c r="M851" s="8"/>
      <c r="O851" s="7"/>
      <c r="P851" s="7"/>
      <c r="Q851" s="7"/>
      <c r="R851" s="7"/>
      <c r="S851" s="7"/>
    </row>
    <row r="852" spans="2:19" ht="14.25" customHeight="1" x14ac:dyDescent="0.3">
      <c r="B852" s="12"/>
      <c r="F852" s="6"/>
      <c r="G852" s="6"/>
      <c r="H852" s="9"/>
      <c r="I852" s="9"/>
      <c r="J852" s="9"/>
      <c r="K852" s="7"/>
      <c r="L852" s="7"/>
      <c r="M852" s="8"/>
      <c r="O852" s="7"/>
      <c r="P852" s="7"/>
      <c r="Q852" s="7"/>
      <c r="R852" s="7"/>
      <c r="S852" s="7"/>
    </row>
    <row r="853" spans="2:19" ht="14.25" customHeight="1" x14ac:dyDescent="0.3">
      <c r="B853" s="12"/>
      <c r="F853" s="6"/>
      <c r="G853" s="6"/>
      <c r="H853" s="9"/>
      <c r="I853" s="9"/>
      <c r="J853" s="9"/>
      <c r="K853" s="7"/>
      <c r="L853" s="7"/>
      <c r="M853" s="8"/>
      <c r="O853" s="7"/>
      <c r="P853" s="7"/>
      <c r="Q853" s="7"/>
      <c r="R853" s="7"/>
      <c r="S853" s="7"/>
    </row>
    <row r="854" spans="2:19" ht="14.25" customHeight="1" x14ac:dyDescent="0.3">
      <c r="B854" s="12"/>
      <c r="F854" s="6"/>
      <c r="G854" s="6"/>
      <c r="H854" s="9"/>
      <c r="I854" s="9"/>
      <c r="J854" s="9"/>
      <c r="K854" s="7"/>
      <c r="L854" s="7"/>
      <c r="M854" s="8"/>
      <c r="O854" s="7"/>
      <c r="P854" s="7"/>
      <c r="Q854" s="7"/>
      <c r="R854" s="7"/>
      <c r="S854" s="7"/>
    </row>
    <row r="855" spans="2:19" ht="14.25" customHeight="1" x14ac:dyDescent="0.3">
      <c r="B855" s="12"/>
      <c r="F855" s="6"/>
      <c r="G855" s="6"/>
      <c r="H855" s="9"/>
      <c r="I855" s="9"/>
      <c r="J855" s="9"/>
      <c r="K855" s="7"/>
      <c r="L855" s="7"/>
      <c r="M855" s="8"/>
      <c r="O855" s="7"/>
      <c r="P855" s="7"/>
      <c r="Q855" s="7"/>
      <c r="R855" s="7"/>
      <c r="S855" s="7"/>
    </row>
    <row r="856" spans="2:19" ht="14.25" customHeight="1" x14ac:dyDescent="0.3">
      <c r="B856" s="12"/>
      <c r="F856" s="6"/>
      <c r="G856" s="6"/>
      <c r="H856" s="9"/>
      <c r="I856" s="9"/>
      <c r="J856" s="9"/>
      <c r="K856" s="7"/>
      <c r="L856" s="7"/>
      <c r="M856" s="8"/>
      <c r="O856" s="7"/>
      <c r="P856" s="7"/>
      <c r="Q856" s="7"/>
      <c r="R856" s="7"/>
      <c r="S856" s="7"/>
    </row>
    <row r="857" spans="2:19" ht="14.25" customHeight="1" x14ac:dyDescent="0.3">
      <c r="B857" s="12"/>
      <c r="F857" s="6"/>
      <c r="G857" s="6"/>
      <c r="H857" s="9"/>
      <c r="I857" s="9"/>
      <c r="J857" s="9"/>
      <c r="K857" s="7"/>
      <c r="L857" s="7"/>
      <c r="M857" s="8"/>
      <c r="O857" s="7"/>
      <c r="P857" s="7"/>
      <c r="Q857" s="7"/>
      <c r="R857" s="7"/>
      <c r="S857" s="7"/>
    </row>
    <row r="858" spans="2:19" ht="14.25" customHeight="1" x14ac:dyDescent="0.3">
      <c r="B858" s="12"/>
      <c r="F858" s="6"/>
      <c r="G858" s="6"/>
      <c r="H858" s="9"/>
      <c r="I858" s="9"/>
      <c r="J858" s="9"/>
      <c r="K858" s="7"/>
      <c r="L858" s="7"/>
      <c r="M858" s="8"/>
      <c r="O858" s="7"/>
      <c r="P858" s="7"/>
      <c r="Q858" s="7"/>
      <c r="R858" s="7"/>
      <c r="S858" s="7"/>
    </row>
    <row r="859" spans="2:19" ht="14.25" customHeight="1" x14ac:dyDescent="0.3">
      <c r="B859" s="12"/>
      <c r="F859" s="6"/>
      <c r="G859" s="6"/>
      <c r="H859" s="9"/>
      <c r="I859" s="9"/>
      <c r="J859" s="9"/>
      <c r="K859" s="7"/>
      <c r="L859" s="7"/>
      <c r="M859" s="8"/>
      <c r="O859" s="7"/>
      <c r="P859" s="7"/>
      <c r="Q859" s="7"/>
      <c r="R859" s="7"/>
      <c r="S859" s="7"/>
    </row>
    <row r="860" spans="2:19" ht="14.25" customHeight="1" x14ac:dyDescent="0.3">
      <c r="B860" s="12"/>
      <c r="F860" s="6"/>
      <c r="G860" s="6"/>
      <c r="H860" s="9"/>
      <c r="I860" s="9"/>
      <c r="J860" s="9"/>
      <c r="K860" s="7"/>
      <c r="L860" s="7"/>
      <c r="M860" s="8"/>
      <c r="O860" s="7"/>
      <c r="P860" s="7"/>
      <c r="Q860" s="7"/>
      <c r="R860" s="7"/>
      <c r="S860" s="7"/>
    </row>
    <row r="861" spans="2:19" ht="14.25" customHeight="1" x14ac:dyDescent="0.3">
      <c r="B861" s="12"/>
      <c r="F861" s="6"/>
      <c r="G861" s="6"/>
      <c r="H861" s="9"/>
      <c r="I861" s="9"/>
      <c r="J861" s="9"/>
      <c r="K861" s="7"/>
      <c r="L861" s="7"/>
      <c r="M861" s="8"/>
      <c r="O861" s="7"/>
      <c r="P861" s="7"/>
      <c r="Q861" s="7"/>
      <c r="R861" s="7"/>
      <c r="S861" s="7"/>
    </row>
    <row r="862" spans="2:19" ht="14.25" customHeight="1" x14ac:dyDescent="0.3">
      <c r="B862" s="12"/>
      <c r="F862" s="6"/>
      <c r="G862" s="6"/>
      <c r="H862" s="9"/>
      <c r="I862" s="9"/>
      <c r="J862" s="9"/>
      <c r="K862" s="7"/>
      <c r="L862" s="7"/>
      <c r="M862" s="8"/>
      <c r="O862" s="7"/>
      <c r="P862" s="7"/>
      <c r="Q862" s="7"/>
      <c r="R862" s="7"/>
      <c r="S862" s="7"/>
    </row>
    <row r="863" spans="2:19" ht="14.25" customHeight="1" x14ac:dyDescent="0.3">
      <c r="B863" s="12"/>
      <c r="F863" s="6"/>
      <c r="G863" s="6"/>
      <c r="H863" s="9"/>
      <c r="I863" s="9"/>
      <c r="J863" s="9"/>
      <c r="K863" s="7"/>
      <c r="L863" s="7"/>
      <c r="M863" s="8"/>
      <c r="O863" s="7"/>
      <c r="P863" s="7"/>
      <c r="Q863" s="7"/>
      <c r="R863" s="7"/>
      <c r="S863" s="7"/>
    </row>
    <row r="864" spans="2:19" ht="14.25" customHeight="1" x14ac:dyDescent="0.3">
      <c r="B864" s="12"/>
      <c r="F864" s="6"/>
      <c r="G864" s="6"/>
      <c r="H864" s="9"/>
      <c r="I864" s="9"/>
      <c r="J864" s="9"/>
      <c r="K864" s="7"/>
      <c r="L864" s="7"/>
      <c r="M864" s="8"/>
      <c r="O864" s="7"/>
      <c r="P864" s="7"/>
      <c r="Q864" s="7"/>
      <c r="R864" s="7"/>
      <c r="S864" s="7"/>
    </row>
    <row r="865" spans="2:19" ht="14.25" customHeight="1" x14ac:dyDescent="0.3">
      <c r="B865" s="12"/>
      <c r="F865" s="6"/>
      <c r="G865" s="6"/>
      <c r="H865" s="9"/>
      <c r="I865" s="9"/>
      <c r="J865" s="9"/>
      <c r="K865" s="7"/>
      <c r="L865" s="7"/>
      <c r="M865" s="8"/>
      <c r="O865" s="7"/>
      <c r="P865" s="7"/>
      <c r="Q865" s="7"/>
      <c r="R865" s="7"/>
      <c r="S865" s="7"/>
    </row>
    <row r="866" spans="2:19" ht="14.25" customHeight="1" x14ac:dyDescent="0.3">
      <c r="B866" s="12"/>
      <c r="F866" s="6"/>
      <c r="G866" s="6"/>
      <c r="H866" s="9"/>
      <c r="I866" s="9"/>
      <c r="J866" s="9"/>
      <c r="K866" s="7"/>
      <c r="L866" s="7"/>
      <c r="M866" s="8"/>
      <c r="O866" s="7"/>
      <c r="P866" s="7"/>
      <c r="Q866" s="7"/>
      <c r="R866" s="7"/>
      <c r="S866" s="7"/>
    </row>
    <row r="867" spans="2:19" ht="14.25" customHeight="1" x14ac:dyDescent="0.3">
      <c r="B867" s="12"/>
      <c r="F867" s="6"/>
      <c r="G867" s="6"/>
      <c r="H867" s="9"/>
      <c r="I867" s="9"/>
      <c r="J867" s="9"/>
      <c r="K867" s="7"/>
      <c r="L867" s="7"/>
      <c r="M867" s="8"/>
      <c r="O867" s="7"/>
      <c r="P867" s="7"/>
      <c r="Q867" s="7"/>
      <c r="R867" s="7"/>
      <c r="S867" s="7"/>
    </row>
    <row r="868" spans="2:19" ht="14.25" customHeight="1" x14ac:dyDescent="0.3">
      <c r="B868" s="12"/>
      <c r="F868" s="6"/>
      <c r="G868" s="6"/>
      <c r="H868" s="9"/>
      <c r="I868" s="9"/>
      <c r="J868" s="9"/>
      <c r="K868" s="7"/>
      <c r="L868" s="7"/>
      <c r="M868" s="8"/>
      <c r="O868" s="7"/>
      <c r="P868" s="7"/>
      <c r="Q868" s="7"/>
      <c r="R868" s="7"/>
      <c r="S868" s="7"/>
    </row>
    <row r="869" spans="2:19" ht="14.25" customHeight="1" x14ac:dyDescent="0.3">
      <c r="B869" s="12"/>
      <c r="F869" s="6"/>
      <c r="G869" s="6"/>
      <c r="H869" s="9"/>
      <c r="I869" s="9"/>
      <c r="J869" s="9"/>
      <c r="K869" s="7"/>
      <c r="L869" s="7"/>
      <c r="M869" s="8"/>
      <c r="O869" s="7"/>
      <c r="P869" s="7"/>
      <c r="Q869" s="7"/>
      <c r="R869" s="7"/>
      <c r="S869" s="7"/>
    </row>
    <row r="870" spans="2:19" ht="14.25" customHeight="1" x14ac:dyDescent="0.3">
      <c r="B870" s="12"/>
      <c r="F870" s="6"/>
      <c r="G870" s="6"/>
      <c r="H870" s="9"/>
      <c r="I870" s="9"/>
      <c r="J870" s="9"/>
      <c r="K870" s="7"/>
      <c r="L870" s="7"/>
      <c r="M870" s="8"/>
      <c r="O870" s="7"/>
      <c r="P870" s="7"/>
      <c r="Q870" s="7"/>
      <c r="R870" s="7"/>
      <c r="S870" s="7"/>
    </row>
    <row r="871" spans="2:19" ht="14.25" customHeight="1" x14ac:dyDescent="0.3">
      <c r="B871" s="12"/>
      <c r="F871" s="6"/>
      <c r="G871" s="6"/>
      <c r="H871" s="9"/>
      <c r="I871" s="9"/>
      <c r="J871" s="9"/>
      <c r="K871" s="7"/>
      <c r="L871" s="7"/>
      <c r="M871" s="8"/>
      <c r="O871" s="7"/>
      <c r="P871" s="7"/>
      <c r="Q871" s="7"/>
      <c r="R871" s="7"/>
      <c r="S871" s="7"/>
    </row>
    <row r="872" spans="2:19" ht="14.25" customHeight="1" x14ac:dyDescent="0.3">
      <c r="B872" s="12"/>
      <c r="F872" s="6"/>
      <c r="G872" s="6"/>
      <c r="H872" s="9"/>
      <c r="I872" s="9"/>
      <c r="J872" s="9"/>
      <c r="K872" s="7"/>
      <c r="L872" s="7"/>
      <c r="M872" s="8"/>
      <c r="O872" s="7"/>
      <c r="P872" s="7"/>
      <c r="Q872" s="7"/>
      <c r="R872" s="7"/>
      <c r="S872" s="7"/>
    </row>
    <row r="873" spans="2:19" ht="14.25" customHeight="1" x14ac:dyDescent="0.3">
      <c r="B873" s="12"/>
      <c r="F873" s="6"/>
      <c r="G873" s="6"/>
      <c r="H873" s="9"/>
      <c r="I873" s="9"/>
      <c r="J873" s="9"/>
      <c r="K873" s="7"/>
      <c r="L873" s="7"/>
      <c r="M873" s="8"/>
      <c r="O873" s="7"/>
      <c r="P873" s="7"/>
      <c r="Q873" s="7"/>
      <c r="R873" s="7"/>
      <c r="S873" s="7"/>
    </row>
    <row r="874" spans="2:19" ht="14.25" customHeight="1" x14ac:dyDescent="0.3">
      <c r="B874" s="12"/>
      <c r="F874" s="6"/>
      <c r="G874" s="6"/>
      <c r="H874" s="9"/>
      <c r="I874" s="9"/>
      <c r="J874" s="9"/>
      <c r="K874" s="7"/>
      <c r="L874" s="7"/>
      <c r="M874" s="8"/>
      <c r="O874" s="7"/>
      <c r="P874" s="7"/>
      <c r="Q874" s="7"/>
      <c r="R874" s="7"/>
      <c r="S874" s="7"/>
    </row>
    <row r="875" spans="2:19" ht="14.25" customHeight="1" x14ac:dyDescent="0.3">
      <c r="B875" s="12"/>
      <c r="F875" s="6"/>
      <c r="G875" s="6"/>
      <c r="H875" s="9"/>
      <c r="I875" s="9"/>
      <c r="J875" s="9"/>
      <c r="K875" s="7"/>
      <c r="L875" s="7"/>
      <c r="M875" s="8"/>
      <c r="O875" s="7"/>
      <c r="P875" s="7"/>
      <c r="Q875" s="7"/>
      <c r="R875" s="7"/>
      <c r="S875" s="7"/>
    </row>
    <row r="876" spans="2:19" ht="14.25" customHeight="1" x14ac:dyDescent="0.3">
      <c r="B876" s="12"/>
      <c r="F876" s="6"/>
      <c r="G876" s="6"/>
      <c r="H876" s="9"/>
      <c r="I876" s="9"/>
      <c r="J876" s="9"/>
      <c r="K876" s="7"/>
      <c r="L876" s="7"/>
      <c r="M876" s="8"/>
      <c r="O876" s="7"/>
      <c r="P876" s="7"/>
      <c r="Q876" s="7"/>
      <c r="R876" s="7"/>
      <c r="S876" s="7"/>
    </row>
    <row r="877" spans="2:19" ht="14.25" customHeight="1" x14ac:dyDescent="0.3">
      <c r="B877" s="12"/>
      <c r="F877" s="6"/>
      <c r="G877" s="6"/>
      <c r="H877" s="9"/>
      <c r="I877" s="9"/>
      <c r="J877" s="9"/>
      <c r="K877" s="7"/>
      <c r="L877" s="7"/>
      <c r="M877" s="8"/>
      <c r="O877" s="7"/>
      <c r="P877" s="7"/>
      <c r="Q877" s="7"/>
      <c r="R877" s="7"/>
      <c r="S877" s="7"/>
    </row>
    <row r="878" spans="2:19" ht="14.25" customHeight="1" x14ac:dyDescent="0.3">
      <c r="B878" s="12"/>
      <c r="F878" s="6"/>
      <c r="G878" s="6"/>
      <c r="H878" s="9"/>
      <c r="I878" s="9"/>
      <c r="J878" s="9"/>
      <c r="K878" s="7"/>
      <c r="L878" s="7"/>
      <c r="M878" s="8"/>
      <c r="O878" s="7"/>
      <c r="P878" s="7"/>
      <c r="Q878" s="7"/>
      <c r="R878" s="7"/>
      <c r="S878" s="7"/>
    </row>
    <row r="879" spans="2:19" ht="14.25" customHeight="1" x14ac:dyDescent="0.3">
      <c r="B879" s="12"/>
      <c r="F879" s="6"/>
      <c r="G879" s="6"/>
      <c r="H879" s="9"/>
      <c r="I879" s="9"/>
      <c r="J879" s="9"/>
      <c r="K879" s="7"/>
      <c r="L879" s="7"/>
      <c r="M879" s="8"/>
      <c r="O879" s="7"/>
      <c r="P879" s="7"/>
      <c r="Q879" s="7"/>
      <c r="R879" s="7"/>
      <c r="S879" s="7"/>
    </row>
    <row r="880" spans="2:19" ht="14.25" customHeight="1" x14ac:dyDescent="0.3">
      <c r="B880" s="12"/>
      <c r="F880" s="6"/>
      <c r="G880" s="6"/>
      <c r="H880" s="9"/>
      <c r="I880" s="9"/>
      <c r="J880" s="9"/>
      <c r="K880" s="7"/>
      <c r="L880" s="7"/>
      <c r="M880" s="8"/>
      <c r="O880" s="7"/>
      <c r="P880" s="7"/>
      <c r="Q880" s="7"/>
      <c r="R880" s="7"/>
      <c r="S880" s="7"/>
    </row>
    <row r="881" spans="2:19" ht="14.25" customHeight="1" x14ac:dyDescent="0.3">
      <c r="B881" s="12"/>
      <c r="F881" s="6"/>
      <c r="G881" s="6"/>
      <c r="H881" s="9"/>
      <c r="I881" s="9"/>
      <c r="J881" s="9"/>
      <c r="K881" s="7"/>
      <c r="L881" s="7"/>
      <c r="M881" s="8"/>
      <c r="O881" s="7"/>
      <c r="P881" s="7"/>
      <c r="Q881" s="7"/>
      <c r="R881" s="7"/>
      <c r="S881" s="7"/>
    </row>
    <row r="882" spans="2:19" ht="14.25" customHeight="1" x14ac:dyDescent="0.3">
      <c r="B882" s="12"/>
      <c r="F882" s="6"/>
      <c r="G882" s="6"/>
      <c r="H882" s="9"/>
      <c r="I882" s="9"/>
      <c r="J882" s="9"/>
      <c r="K882" s="7"/>
      <c r="L882" s="7"/>
      <c r="M882" s="8"/>
      <c r="O882" s="7"/>
      <c r="P882" s="7"/>
      <c r="Q882" s="7"/>
      <c r="R882" s="7"/>
      <c r="S882" s="7"/>
    </row>
    <row r="883" spans="2:19" ht="14.25" customHeight="1" x14ac:dyDescent="0.3">
      <c r="B883" s="12"/>
      <c r="F883" s="6"/>
      <c r="G883" s="6"/>
      <c r="H883" s="9"/>
      <c r="I883" s="9"/>
      <c r="J883" s="9"/>
      <c r="K883" s="7"/>
      <c r="L883" s="7"/>
      <c r="M883" s="8"/>
      <c r="O883" s="7"/>
      <c r="P883" s="7"/>
      <c r="Q883" s="7"/>
      <c r="R883" s="7"/>
      <c r="S883" s="7"/>
    </row>
    <row r="884" spans="2:19" ht="14.25" customHeight="1" x14ac:dyDescent="0.3">
      <c r="B884" s="12"/>
      <c r="F884" s="6"/>
      <c r="G884" s="6"/>
      <c r="H884" s="9"/>
      <c r="I884" s="9"/>
      <c r="J884" s="9"/>
      <c r="K884" s="7"/>
      <c r="L884" s="7"/>
      <c r="M884" s="8"/>
      <c r="O884" s="7"/>
      <c r="P884" s="7"/>
      <c r="Q884" s="7"/>
      <c r="R884" s="7"/>
      <c r="S884" s="7"/>
    </row>
    <row r="885" spans="2:19" ht="14.25" customHeight="1" x14ac:dyDescent="0.3">
      <c r="B885" s="12"/>
      <c r="F885" s="6"/>
      <c r="G885" s="6"/>
      <c r="H885" s="9"/>
      <c r="I885" s="9"/>
      <c r="J885" s="9"/>
      <c r="K885" s="7"/>
      <c r="L885" s="7"/>
      <c r="M885" s="8"/>
      <c r="O885" s="7"/>
      <c r="P885" s="7"/>
      <c r="Q885" s="7"/>
      <c r="R885" s="7"/>
      <c r="S885" s="7"/>
    </row>
    <row r="886" spans="2:19" ht="14.25" customHeight="1" x14ac:dyDescent="0.3">
      <c r="B886" s="12"/>
      <c r="F886" s="6"/>
      <c r="G886" s="6"/>
      <c r="H886" s="9"/>
      <c r="I886" s="9"/>
      <c r="J886" s="9"/>
      <c r="K886" s="7"/>
      <c r="L886" s="7"/>
      <c r="M886" s="8"/>
      <c r="O886" s="7"/>
      <c r="P886" s="7"/>
      <c r="Q886" s="7"/>
      <c r="R886" s="7"/>
      <c r="S886" s="7"/>
    </row>
    <row r="887" spans="2:19" ht="14.25" customHeight="1" x14ac:dyDescent="0.3">
      <c r="B887" s="12"/>
      <c r="F887" s="6"/>
      <c r="G887" s="6"/>
      <c r="H887" s="9"/>
      <c r="I887" s="9"/>
      <c r="J887" s="9"/>
      <c r="K887" s="7"/>
      <c r="L887" s="7"/>
      <c r="M887" s="8"/>
      <c r="O887" s="7"/>
      <c r="P887" s="7"/>
      <c r="Q887" s="7"/>
      <c r="R887" s="7"/>
      <c r="S887" s="7"/>
    </row>
    <row r="888" spans="2:19" ht="14.25" customHeight="1" x14ac:dyDescent="0.3">
      <c r="B888" s="12"/>
      <c r="F888" s="6"/>
      <c r="G888" s="6"/>
      <c r="H888" s="9"/>
      <c r="I888" s="9"/>
      <c r="J888" s="9"/>
      <c r="K888" s="7"/>
      <c r="L888" s="7"/>
      <c r="M888" s="8"/>
      <c r="O888" s="7"/>
      <c r="P888" s="7"/>
      <c r="Q888" s="7"/>
      <c r="R888" s="7"/>
      <c r="S888" s="7"/>
    </row>
    <row r="889" spans="2:19" ht="14.25" customHeight="1" x14ac:dyDescent="0.3">
      <c r="B889" s="12"/>
      <c r="F889" s="6"/>
      <c r="G889" s="6"/>
      <c r="H889" s="9"/>
      <c r="I889" s="9"/>
      <c r="J889" s="9"/>
      <c r="K889" s="7"/>
      <c r="L889" s="7"/>
      <c r="M889" s="8"/>
      <c r="O889" s="7"/>
      <c r="P889" s="7"/>
      <c r="Q889" s="7"/>
      <c r="R889" s="7"/>
      <c r="S889" s="7"/>
    </row>
    <row r="890" spans="2:19" ht="14.25" customHeight="1" x14ac:dyDescent="0.3">
      <c r="B890" s="12"/>
      <c r="F890" s="6"/>
      <c r="G890" s="6"/>
      <c r="H890" s="9"/>
      <c r="I890" s="9"/>
      <c r="J890" s="9"/>
      <c r="K890" s="7"/>
      <c r="L890" s="7"/>
      <c r="M890" s="8"/>
      <c r="O890" s="7"/>
      <c r="P890" s="7"/>
      <c r="Q890" s="7"/>
      <c r="R890" s="7"/>
      <c r="S890" s="7"/>
    </row>
    <row r="891" spans="2:19" ht="14.25" customHeight="1" x14ac:dyDescent="0.3">
      <c r="B891" s="12"/>
      <c r="F891" s="6"/>
      <c r="G891" s="6"/>
      <c r="H891" s="9"/>
      <c r="I891" s="9"/>
      <c r="J891" s="9"/>
      <c r="K891" s="7"/>
      <c r="L891" s="7"/>
      <c r="M891" s="8"/>
      <c r="O891" s="7"/>
      <c r="P891" s="7"/>
      <c r="Q891" s="7"/>
      <c r="R891" s="7"/>
      <c r="S891" s="7"/>
    </row>
    <row r="892" spans="2:19" ht="14.25" customHeight="1" x14ac:dyDescent="0.3">
      <c r="B892" s="12"/>
      <c r="F892" s="6"/>
      <c r="G892" s="6"/>
      <c r="H892" s="9"/>
      <c r="I892" s="9"/>
      <c r="J892" s="9"/>
      <c r="K892" s="7"/>
      <c r="L892" s="7"/>
      <c r="M892" s="8"/>
      <c r="O892" s="7"/>
      <c r="P892" s="7"/>
      <c r="Q892" s="7"/>
      <c r="R892" s="7"/>
      <c r="S892" s="7"/>
    </row>
    <row r="893" spans="2:19" ht="14.25" customHeight="1" x14ac:dyDescent="0.3">
      <c r="B893" s="12"/>
      <c r="F893" s="6"/>
      <c r="G893" s="6"/>
      <c r="H893" s="9"/>
      <c r="I893" s="9"/>
      <c r="J893" s="9"/>
      <c r="K893" s="7"/>
      <c r="L893" s="7"/>
      <c r="M893" s="8"/>
      <c r="O893" s="7"/>
      <c r="P893" s="7"/>
      <c r="Q893" s="7"/>
      <c r="R893" s="7"/>
      <c r="S893" s="7"/>
    </row>
    <row r="894" spans="2:19" ht="14.25" customHeight="1" x14ac:dyDescent="0.3">
      <c r="B894" s="12"/>
      <c r="F894" s="6"/>
      <c r="G894" s="6"/>
      <c r="H894" s="9"/>
      <c r="I894" s="9"/>
      <c r="J894" s="9"/>
      <c r="K894" s="7"/>
      <c r="L894" s="7"/>
      <c r="M894" s="8"/>
      <c r="O894" s="7"/>
      <c r="P894" s="7"/>
      <c r="Q894" s="7"/>
      <c r="R894" s="7"/>
      <c r="S894" s="7"/>
    </row>
    <row r="895" spans="2:19" ht="14.25" customHeight="1" x14ac:dyDescent="0.3">
      <c r="B895" s="12"/>
      <c r="F895" s="6"/>
      <c r="G895" s="6"/>
      <c r="H895" s="9"/>
      <c r="I895" s="9"/>
      <c r="J895" s="9"/>
      <c r="K895" s="7"/>
      <c r="L895" s="7"/>
      <c r="M895" s="8"/>
      <c r="O895" s="7"/>
      <c r="P895" s="7"/>
      <c r="Q895" s="7"/>
      <c r="R895" s="7"/>
      <c r="S895" s="7"/>
    </row>
    <row r="896" spans="2:19" ht="14.25" customHeight="1" x14ac:dyDescent="0.3">
      <c r="B896" s="12"/>
      <c r="F896" s="6"/>
      <c r="G896" s="6"/>
      <c r="H896" s="9"/>
      <c r="I896" s="9"/>
      <c r="J896" s="9"/>
      <c r="K896" s="7"/>
      <c r="L896" s="7"/>
      <c r="M896" s="8"/>
      <c r="O896" s="7"/>
      <c r="P896" s="7"/>
      <c r="Q896" s="7"/>
      <c r="R896" s="7"/>
      <c r="S896" s="7"/>
    </row>
    <row r="897" spans="2:19" ht="14.25" customHeight="1" x14ac:dyDescent="0.3">
      <c r="B897" s="12"/>
      <c r="F897" s="6"/>
      <c r="G897" s="6"/>
      <c r="H897" s="9"/>
      <c r="I897" s="9"/>
      <c r="J897" s="9"/>
      <c r="K897" s="7"/>
      <c r="L897" s="7"/>
      <c r="M897" s="8"/>
      <c r="O897" s="7"/>
      <c r="P897" s="7"/>
      <c r="Q897" s="7"/>
      <c r="R897" s="7"/>
      <c r="S897" s="7"/>
    </row>
    <row r="898" spans="2:19" ht="14.25" customHeight="1" x14ac:dyDescent="0.3">
      <c r="B898" s="12"/>
      <c r="F898" s="6"/>
      <c r="G898" s="6"/>
      <c r="H898" s="9"/>
      <c r="I898" s="9"/>
      <c r="J898" s="9"/>
      <c r="K898" s="7"/>
      <c r="L898" s="7"/>
      <c r="M898" s="8"/>
      <c r="O898" s="7"/>
      <c r="P898" s="7"/>
      <c r="Q898" s="7"/>
      <c r="R898" s="7"/>
      <c r="S898" s="7"/>
    </row>
    <row r="899" spans="2:19" ht="14.25" customHeight="1" x14ac:dyDescent="0.3">
      <c r="B899" s="12"/>
      <c r="F899" s="6"/>
      <c r="G899" s="6"/>
      <c r="H899" s="9"/>
      <c r="I899" s="9"/>
      <c r="J899" s="9"/>
      <c r="K899" s="7"/>
      <c r="L899" s="7"/>
      <c r="M899" s="8"/>
      <c r="O899" s="7"/>
      <c r="P899" s="7"/>
      <c r="Q899" s="7"/>
      <c r="R899" s="7"/>
      <c r="S899" s="7"/>
    </row>
    <row r="900" spans="2:19" ht="14.25" customHeight="1" x14ac:dyDescent="0.3">
      <c r="B900" s="12"/>
      <c r="F900" s="6"/>
      <c r="G900" s="6"/>
      <c r="H900" s="9"/>
      <c r="I900" s="9"/>
      <c r="J900" s="9"/>
      <c r="K900" s="7"/>
      <c r="L900" s="7"/>
      <c r="M900" s="8"/>
      <c r="O900" s="7"/>
      <c r="P900" s="7"/>
      <c r="Q900" s="7"/>
      <c r="R900" s="7"/>
      <c r="S900" s="7"/>
    </row>
    <row r="901" spans="2:19" ht="14.25" customHeight="1" x14ac:dyDescent="0.3">
      <c r="B901" s="12"/>
      <c r="F901" s="6"/>
      <c r="G901" s="6"/>
      <c r="H901" s="9"/>
      <c r="I901" s="9"/>
      <c r="J901" s="9"/>
      <c r="K901" s="7"/>
      <c r="L901" s="7"/>
      <c r="M901" s="8"/>
      <c r="O901" s="7"/>
      <c r="P901" s="7"/>
      <c r="Q901" s="7"/>
      <c r="R901" s="7"/>
      <c r="S901" s="7"/>
    </row>
    <row r="902" spans="2:19" ht="14.25" customHeight="1" x14ac:dyDescent="0.3">
      <c r="B902" s="12"/>
      <c r="F902" s="6"/>
      <c r="G902" s="6"/>
      <c r="H902" s="9"/>
      <c r="I902" s="9"/>
      <c r="J902" s="9"/>
      <c r="K902" s="7"/>
      <c r="L902" s="7"/>
      <c r="M902" s="8"/>
      <c r="O902" s="7"/>
      <c r="P902" s="7"/>
      <c r="Q902" s="7"/>
      <c r="R902" s="7"/>
      <c r="S902" s="7"/>
    </row>
    <row r="903" spans="2:19" ht="14.25" customHeight="1" x14ac:dyDescent="0.3">
      <c r="B903" s="12"/>
      <c r="F903" s="6"/>
      <c r="G903" s="6"/>
      <c r="H903" s="9"/>
      <c r="I903" s="9"/>
      <c r="J903" s="9"/>
      <c r="K903" s="7"/>
      <c r="L903" s="7"/>
      <c r="M903" s="8"/>
      <c r="O903" s="7"/>
      <c r="P903" s="7"/>
      <c r="Q903" s="7"/>
      <c r="R903" s="7"/>
      <c r="S903" s="7"/>
    </row>
    <row r="904" spans="2:19" ht="14.25" customHeight="1" x14ac:dyDescent="0.3">
      <c r="B904" s="12"/>
      <c r="F904" s="6"/>
      <c r="G904" s="6"/>
      <c r="H904" s="9"/>
      <c r="I904" s="9"/>
      <c r="J904" s="9"/>
      <c r="K904" s="7"/>
      <c r="L904" s="7"/>
      <c r="M904" s="8"/>
      <c r="O904" s="7"/>
      <c r="P904" s="7"/>
      <c r="Q904" s="7"/>
      <c r="R904" s="7"/>
      <c r="S904" s="7"/>
    </row>
    <row r="905" spans="2:19" ht="14.25" customHeight="1" x14ac:dyDescent="0.3">
      <c r="B905" s="12"/>
      <c r="F905" s="6"/>
      <c r="G905" s="6"/>
      <c r="H905" s="9"/>
      <c r="I905" s="9"/>
      <c r="J905" s="9"/>
      <c r="K905" s="7"/>
      <c r="L905" s="7"/>
      <c r="M905" s="8"/>
      <c r="O905" s="7"/>
      <c r="P905" s="7"/>
      <c r="Q905" s="7"/>
      <c r="R905" s="7"/>
      <c r="S905" s="7"/>
    </row>
    <row r="906" spans="2:19" ht="14.25" customHeight="1" x14ac:dyDescent="0.3">
      <c r="B906" s="12"/>
      <c r="F906" s="6"/>
      <c r="G906" s="6"/>
      <c r="H906" s="9"/>
      <c r="I906" s="9"/>
      <c r="J906" s="9"/>
      <c r="K906" s="7"/>
      <c r="L906" s="7"/>
      <c r="M906" s="8"/>
      <c r="O906" s="7"/>
      <c r="P906" s="7"/>
      <c r="Q906" s="7"/>
      <c r="R906" s="7"/>
      <c r="S906" s="7"/>
    </row>
    <row r="907" spans="2:19" ht="14.25" customHeight="1" x14ac:dyDescent="0.3">
      <c r="B907" s="12"/>
      <c r="F907" s="6"/>
      <c r="G907" s="6"/>
      <c r="H907" s="9"/>
      <c r="I907" s="9"/>
      <c r="J907" s="9"/>
      <c r="K907" s="7"/>
      <c r="L907" s="7"/>
      <c r="M907" s="8"/>
      <c r="O907" s="7"/>
      <c r="P907" s="7"/>
      <c r="Q907" s="7"/>
      <c r="R907" s="7"/>
      <c r="S907" s="7"/>
    </row>
    <row r="908" spans="2:19" ht="14.25" customHeight="1" x14ac:dyDescent="0.3">
      <c r="B908" s="12"/>
      <c r="F908" s="6"/>
      <c r="G908" s="6"/>
      <c r="H908" s="9"/>
      <c r="I908" s="9"/>
      <c r="J908" s="9"/>
      <c r="K908" s="7"/>
      <c r="L908" s="7"/>
      <c r="M908" s="8"/>
      <c r="O908" s="7"/>
      <c r="P908" s="7"/>
      <c r="Q908" s="7"/>
      <c r="R908" s="7"/>
      <c r="S908" s="7"/>
    </row>
    <row r="909" spans="2:19" ht="14.25" customHeight="1" x14ac:dyDescent="0.3">
      <c r="B909" s="12"/>
      <c r="F909" s="6"/>
      <c r="G909" s="6"/>
      <c r="H909" s="9"/>
      <c r="I909" s="9"/>
      <c r="J909" s="9"/>
      <c r="K909" s="7"/>
      <c r="L909" s="7"/>
      <c r="M909" s="8"/>
      <c r="O909" s="7"/>
      <c r="P909" s="7"/>
      <c r="Q909" s="7"/>
      <c r="R909" s="7"/>
      <c r="S909" s="7"/>
    </row>
    <row r="910" spans="2:19" ht="14.25" customHeight="1" x14ac:dyDescent="0.3">
      <c r="B910" s="12"/>
      <c r="F910" s="6"/>
      <c r="G910" s="6"/>
      <c r="H910" s="9"/>
      <c r="I910" s="9"/>
      <c r="J910" s="9"/>
      <c r="K910" s="7"/>
      <c r="L910" s="7"/>
      <c r="M910" s="8"/>
      <c r="O910" s="7"/>
      <c r="P910" s="7"/>
      <c r="Q910" s="7"/>
      <c r="R910" s="7"/>
      <c r="S910" s="7"/>
    </row>
    <row r="911" spans="2:19" ht="14.25" customHeight="1" x14ac:dyDescent="0.3">
      <c r="B911" s="12"/>
      <c r="F911" s="6"/>
      <c r="G911" s="6"/>
      <c r="H911" s="9"/>
      <c r="I911" s="9"/>
      <c r="J911" s="9"/>
      <c r="K911" s="7"/>
      <c r="L911" s="7"/>
      <c r="M911" s="8"/>
      <c r="O911" s="7"/>
      <c r="P911" s="7"/>
      <c r="Q911" s="7"/>
      <c r="R911" s="7"/>
      <c r="S911" s="7"/>
    </row>
    <row r="912" spans="2:19" ht="14.25" customHeight="1" x14ac:dyDescent="0.3">
      <c r="B912" s="12"/>
      <c r="F912" s="6"/>
      <c r="G912" s="6"/>
      <c r="H912" s="9"/>
      <c r="I912" s="9"/>
      <c r="J912" s="9"/>
      <c r="K912" s="7"/>
      <c r="L912" s="7"/>
      <c r="M912" s="8"/>
      <c r="O912" s="7"/>
      <c r="P912" s="7"/>
      <c r="Q912" s="7"/>
      <c r="R912" s="7"/>
      <c r="S912" s="7"/>
    </row>
    <row r="913" spans="2:19" ht="14.25" customHeight="1" x14ac:dyDescent="0.3">
      <c r="B913" s="12"/>
      <c r="F913" s="6"/>
      <c r="G913" s="6"/>
      <c r="H913" s="9"/>
      <c r="I913" s="9"/>
      <c r="J913" s="9"/>
      <c r="K913" s="7"/>
      <c r="L913" s="7"/>
      <c r="M913" s="8"/>
      <c r="O913" s="7"/>
      <c r="P913" s="7"/>
      <c r="Q913" s="7"/>
      <c r="R913" s="7"/>
      <c r="S913" s="7"/>
    </row>
    <row r="914" spans="2:19" ht="14.25" customHeight="1" x14ac:dyDescent="0.3">
      <c r="B914" s="12"/>
      <c r="F914" s="6"/>
      <c r="G914" s="6"/>
      <c r="H914" s="9"/>
      <c r="I914" s="9"/>
      <c r="J914" s="9"/>
      <c r="K914" s="7"/>
      <c r="L914" s="7"/>
      <c r="M914" s="8"/>
      <c r="O914" s="7"/>
      <c r="P914" s="7"/>
      <c r="Q914" s="7"/>
      <c r="R914" s="7"/>
      <c r="S914" s="7"/>
    </row>
    <row r="915" spans="2:19" ht="14.25" customHeight="1" x14ac:dyDescent="0.3">
      <c r="B915" s="12"/>
      <c r="F915" s="6"/>
      <c r="G915" s="6"/>
      <c r="H915" s="9"/>
      <c r="I915" s="9"/>
      <c r="J915" s="9"/>
      <c r="K915" s="7"/>
      <c r="L915" s="7"/>
      <c r="M915" s="8"/>
      <c r="O915" s="7"/>
      <c r="P915" s="7"/>
      <c r="Q915" s="7"/>
      <c r="R915" s="7"/>
      <c r="S915" s="7"/>
    </row>
    <row r="916" spans="2:19" ht="14.25" customHeight="1" x14ac:dyDescent="0.3">
      <c r="B916" s="12"/>
      <c r="F916" s="6"/>
      <c r="G916" s="6"/>
      <c r="H916" s="9"/>
      <c r="I916" s="9"/>
      <c r="J916" s="9"/>
      <c r="K916" s="7"/>
      <c r="L916" s="7"/>
      <c r="M916" s="8"/>
      <c r="O916" s="7"/>
      <c r="P916" s="7"/>
      <c r="Q916" s="7"/>
      <c r="R916" s="7"/>
      <c r="S916" s="7"/>
    </row>
    <row r="917" spans="2:19" ht="14.25" customHeight="1" x14ac:dyDescent="0.3">
      <c r="B917" s="12"/>
      <c r="F917" s="6"/>
      <c r="G917" s="6"/>
      <c r="H917" s="9"/>
      <c r="I917" s="9"/>
      <c r="J917" s="9"/>
      <c r="K917" s="7"/>
      <c r="L917" s="7"/>
      <c r="M917" s="8"/>
      <c r="O917" s="7"/>
      <c r="P917" s="7"/>
      <c r="Q917" s="7"/>
      <c r="R917" s="7"/>
      <c r="S917" s="7"/>
    </row>
    <row r="918" spans="2:19" ht="14.25" customHeight="1" x14ac:dyDescent="0.3">
      <c r="B918" s="12"/>
      <c r="F918" s="6"/>
      <c r="G918" s="6"/>
      <c r="H918" s="9"/>
      <c r="I918" s="9"/>
      <c r="J918" s="9"/>
      <c r="K918" s="7"/>
      <c r="L918" s="7"/>
      <c r="M918" s="8"/>
      <c r="O918" s="7"/>
      <c r="P918" s="7"/>
      <c r="Q918" s="7"/>
      <c r="R918" s="7"/>
      <c r="S918" s="7"/>
    </row>
    <row r="919" spans="2:19" ht="14.25" customHeight="1" x14ac:dyDescent="0.3">
      <c r="B919" s="12"/>
      <c r="F919" s="6"/>
      <c r="G919" s="6"/>
      <c r="H919" s="9"/>
      <c r="I919" s="9"/>
      <c r="J919" s="9"/>
      <c r="K919" s="7"/>
      <c r="L919" s="7"/>
      <c r="M919" s="8"/>
      <c r="O919" s="7"/>
      <c r="P919" s="7"/>
      <c r="Q919" s="7"/>
      <c r="R919" s="7"/>
      <c r="S919" s="7"/>
    </row>
    <row r="920" spans="2:19" ht="14.25" customHeight="1" x14ac:dyDescent="0.3">
      <c r="B920" s="12"/>
      <c r="F920" s="6"/>
      <c r="G920" s="6"/>
      <c r="H920" s="9"/>
      <c r="I920" s="9"/>
      <c r="J920" s="9"/>
      <c r="K920" s="7"/>
      <c r="L920" s="7"/>
      <c r="M920" s="8"/>
      <c r="O920" s="7"/>
      <c r="P920" s="7"/>
      <c r="Q920" s="7"/>
      <c r="R920" s="7"/>
      <c r="S920" s="7"/>
    </row>
    <row r="921" spans="2:19" ht="14.25" customHeight="1" x14ac:dyDescent="0.3">
      <c r="B921" s="12"/>
      <c r="F921" s="6"/>
      <c r="G921" s="6"/>
      <c r="H921" s="9"/>
      <c r="I921" s="9"/>
      <c r="J921" s="9"/>
      <c r="K921" s="7"/>
      <c r="L921" s="7"/>
      <c r="M921" s="8"/>
      <c r="O921" s="7"/>
      <c r="P921" s="7"/>
      <c r="Q921" s="7"/>
      <c r="R921" s="7"/>
      <c r="S921" s="7"/>
    </row>
    <row r="922" spans="2:19" ht="14.25" customHeight="1" x14ac:dyDescent="0.3">
      <c r="B922" s="12"/>
      <c r="F922" s="6"/>
      <c r="G922" s="6"/>
      <c r="H922" s="9"/>
      <c r="I922" s="9"/>
      <c r="J922" s="9"/>
      <c r="K922" s="7"/>
      <c r="L922" s="7"/>
      <c r="M922" s="8"/>
      <c r="O922" s="7"/>
      <c r="P922" s="7"/>
      <c r="Q922" s="7"/>
      <c r="R922" s="7"/>
      <c r="S922" s="7"/>
    </row>
    <row r="923" spans="2:19" ht="14.25" customHeight="1" x14ac:dyDescent="0.3">
      <c r="B923" s="12"/>
      <c r="F923" s="6"/>
      <c r="G923" s="6"/>
      <c r="H923" s="9"/>
      <c r="I923" s="9"/>
      <c r="J923" s="9"/>
      <c r="K923" s="7"/>
      <c r="L923" s="7"/>
      <c r="M923" s="8"/>
      <c r="O923" s="7"/>
      <c r="P923" s="7"/>
      <c r="Q923" s="7"/>
      <c r="R923" s="7"/>
      <c r="S923" s="7"/>
    </row>
    <row r="924" spans="2:19" ht="14.25" customHeight="1" x14ac:dyDescent="0.3">
      <c r="B924" s="12"/>
      <c r="F924" s="6"/>
      <c r="G924" s="6"/>
      <c r="H924" s="9"/>
      <c r="I924" s="9"/>
      <c r="J924" s="9"/>
      <c r="K924" s="7"/>
      <c r="L924" s="7"/>
      <c r="M924" s="8"/>
      <c r="O924" s="7"/>
      <c r="P924" s="7"/>
      <c r="Q924" s="7"/>
      <c r="R924" s="7"/>
      <c r="S924" s="7"/>
    </row>
    <row r="925" spans="2:19" ht="14.25" customHeight="1" x14ac:dyDescent="0.3">
      <c r="B925" s="12"/>
      <c r="F925" s="6"/>
      <c r="G925" s="6"/>
      <c r="H925" s="9"/>
      <c r="I925" s="9"/>
      <c r="J925" s="9"/>
      <c r="K925" s="7"/>
      <c r="L925" s="7"/>
      <c r="M925" s="8"/>
      <c r="O925" s="7"/>
      <c r="P925" s="7"/>
      <c r="Q925" s="7"/>
      <c r="R925" s="7"/>
      <c r="S925" s="7"/>
    </row>
    <row r="926" spans="2:19" ht="14.25" customHeight="1" x14ac:dyDescent="0.3">
      <c r="B926" s="12"/>
      <c r="F926" s="6"/>
      <c r="G926" s="6"/>
      <c r="H926" s="9"/>
      <c r="I926" s="9"/>
      <c r="J926" s="9"/>
      <c r="K926" s="7"/>
      <c r="L926" s="7"/>
      <c r="M926" s="8"/>
      <c r="O926" s="7"/>
      <c r="P926" s="7"/>
      <c r="Q926" s="7"/>
      <c r="R926" s="7"/>
      <c r="S926" s="7"/>
    </row>
    <row r="927" spans="2:19" ht="14.25" customHeight="1" x14ac:dyDescent="0.3">
      <c r="B927" s="12"/>
      <c r="F927" s="6"/>
      <c r="G927" s="6"/>
      <c r="H927" s="9"/>
      <c r="I927" s="9"/>
      <c r="J927" s="9"/>
      <c r="K927" s="7"/>
      <c r="L927" s="7"/>
      <c r="M927" s="8"/>
      <c r="O927" s="7"/>
      <c r="P927" s="7"/>
      <c r="Q927" s="7"/>
      <c r="R927" s="7"/>
      <c r="S927" s="7"/>
    </row>
    <row r="928" spans="2:19" ht="14.25" customHeight="1" x14ac:dyDescent="0.3">
      <c r="B928" s="12"/>
      <c r="F928" s="6"/>
      <c r="G928" s="6"/>
      <c r="H928" s="9"/>
      <c r="I928" s="9"/>
      <c r="J928" s="9"/>
      <c r="K928" s="7"/>
      <c r="L928" s="7"/>
      <c r="M928" s="8"/>
      <c r="O928" s="7"/>
      <c r="P928" s="7"/>
      <c r="Q928" s="7"/>
      <c r="R928" s="7"/>
      <c r="S928" s="7"/>
    </row>
    <row r="929" spans="2:19" ht="14.25" customHeight="1" x14ac:dyDescent="0.3">
      <c r="B929" s="12"/>
      <c r="F929" s="6"/>
      <c r="G929" s="6"/>
      <c r="H929" s="9"/>
      <c r="I929" s="9"/>
      <c r="J929" s="9"/>
      <c r="K929" s="7"/>
      <c r="L929" s="7"/>
      <c r="M929" s="8"/>
      <c r="O929" s="7"/>
      <c r="P929" s="7"/>
      <c r="Q929" s="7"/>
      <c r="R929" s="7"/>
      <c r="S929" s="7"/>
    </row>
    <row r="930" spans="2:19" ht="14.25" customHeight="1" x14ac:dyDescent="0.3">
      <c r="B930" s="12"/>
      <c r="F930" s="6"/>
      <c r="G930" s="6"/>
      <c r="H930" s="9"/>
      <c r="I930" s="9"/>
      <c r="J930" s="9"/>
      <c r="K930" s="7"/>
      <c r="L930" s="7"/>
      <c r="M930" s="8"/>
      <c r="O930" s="7"/>
      <c r="P930" s="7"/>
      <c r="Q930" s="7"/>
      <c r="R930" s="7"/>
      <c r="S930" s="7"/>
    </row>
    <row r="931" spans="2:19" ht="14.25" customHeight="1" x14ac:dyDescent="0.3">
      <c r="B931" s="12"/>
      <c r="F931" s="6"/>
      <c r="G931" s="6"/>
      <c r="H931" s="9"/>
      <c r="I931" s="9"/>
      <c r="J931" s="9"/>
      <c r="K931" s="7"/>
      <c r="L931" s="7"/>
      <c r="M931" s="8"/>
      <c r="O931" s="7"/>
      <c r="P931" s="7"/>
      <c r="Q931" s="7"/>
      <c r="R931" s="7"/>
      <c r="S931" s="7"/>
    </row>
    <row r="932" spans="2:19" ht="14.25" customHeight="1" x14ac:dyDescent="0.3">
      <c r="B932" s="12"/>
      <c r="F932" s="6"/>
      <c r="G932" s="6"/>
      <c r="H932" s="9"/>
      <c r="I932" s="9"/>
      <c r="J932" s="9"/>
      <c r="K932" s="7"/>
      <c r="L932" s="7"/>
      <c r="M932" s="8"/>
      <c r="O932" s="7"/>
      <c r="P932" s="7"/>
      <c r="Q932" s="7"/>
      <c r="R932" s="7"/>
      <c r="S932" s="7"/>
    </row>
    <row r="933" spans="2:19" ht="14.25" customHeight="1" x14ac:dyDescent="0.3">
      <c r="B933" s="12"/>
      <c r="F933" s="6"/>
      <c r="G933" s="6"/>
      <c r="H933" s="9"/>
      <c r="I933" s="9"/>
      <c r="J933" s="9"/>
      <c r="K933" s="7"/>
      <c r="L933" s="7"/>
      <c r="M933" s="8"/>
      <c r="O933" s="7"/>
      <c r="P933" s="7"/>
      <c r="Q933" s="7"/>
      <c r="R933" s="7"/>
      <c r="S933" s="7"/>
    </row>
    <row r="934" spans="2:19" ht="14.25" customHeight="1" x14ac:dyDescent="0.3">
      <c r="B934" s="12"/>
      <c r="F934" s="6"/>
      <c r="G934" s="6"/>
      <c r="H934" s="9"/>
      <c r="I934" s="9"/>
      <c r="J934" s="9"/>
      <c r="K934" s="7"/>
      <c r="L934" s="7"/>
      <c r="M934" s="8"/>
      <c r="O934" s="7"/>
      <c r="P934" s="7"/>
      <c r="Q934" s="7"/>
      <c r="R934" s="7"/>
      <c r="S934" s="7"/>
    </row>
    <row r="935" spans="2:19" ht="14.25" customHeight="1" x14ac:dyDescent="0.3">
      <c r="B935" s="12"/>
      <c r="F935" s="6"/>
      <c r="G935" s="6"/>
      <c r="H935" s="9"/>
      <c r="I935" s="9"/>
      <c r="J935" s="9"/>
      <c r="K935" s="7"/>
      <c r="L935" s="7"/>
      <c r="M935" s="8"/>
      <c r="O935" s="7"/>
      <c r="P935" s="7"/>
      <c r="Q935" s="7"/>
      <c r="R935" s="7"/>
      <c r="S935" s="7"/>
    </row>
    <row r="936" spans="2:19" ht="14.25" customHeight="1" x14ac:dyDescent="0.3">
      <c r="B936" s="12"/>
      <c r="F936" s="6"/>
      <c r="G936" s="6"/>
      <c r="H936" s="9"/>
      <c r="I936" s="9"/>
      <c r="J936" s="9"/>
      <c r="K936" s="7"/>
      <c r="L936" s="7"/>
      <c r="M936" s="8"/>
      <c r="O936" s="7"/>
      <c r="P936" s="7"/>
      <c r="Q936" s="7"/>
      <c r="R936" s="7"/>
      <c r="S936" s="7"/>
    </row>
    <row r="937" spans="2:19" ht="14.25" customHeight="1" x14ac:dyDescent="0.3">
      <c r="B937" s="12"/>
      <c r="F937" s="6"/>
      <c r="G937" s="6"/>
      <c r="H937" s="9"/>
      <c r="I937" s="9"/>
      <c r="J937" s="9"/>
      <c r="K937" s="7"/>
      <c r="L937" s="7"/>
      <c r="M937" s="8"/>
      <c r="O937" s="7"/>
      <c r="P937" s="7"/>
      <c r="Q937" s="7"/>
      <c r="R937" s="7"/>
      <c r="S937" s="7"/>
    </row>
    <row r="938" spans="2:19" ht="14.25" customHeight="1" x14ac:dyDescent="0.3">
      <c r="B938" s="12"/>
      <c r="F938" s="6"/>
      <c r="G938" s="6"/>
      <c r="H938" s="9"/>
      <c r="I938" s="9"/>
      <c r="J938" s="9"/>
      <c r="K938" s="7"/>
      <c r="L938" s="7"/>
      <c r="M938" s="8"/>
      <c r="O938" s="7"/>
      <c r="P938" s="7"/>
      <c r="Q938" s="7"/>
      <c r="R938" s="7"/>
      <c r="S938" s="7"/>
    </row>
    <row r="939" spans="2:19" ht="14.25" customHeight="1" x14ac:dyDescent="0.3">
      <c r="B939" s="12"/>
      <c r="F939" s="6"/>
      <c r="G939" s="6"/>
      <c r="H939" s="9"/>
      <c r="I939" s="9"/>
      <c r="J939" s="9"/>
      <c r="K939" s="7"/>
      <c r="L939" s="7"/>
      <c r="M939" s="8"/>
      <c r="O939" s="7"/>
      <c r="P939" s="7"/>
      <c r="Q939" s="7"/>
      <c r="R939" s="7"/>
      <c r="S939" s="7"/>
    </row>
    <row r="940" spans="2:19" ht="14.25" customHeight="1" x14ac:dyDescent="0.3">
      <c r="B940" s="12"/>
      <c r="F940" s="6"/>
      <c r="G940" s="6"/>
      <c r="H940" s="9"/>
      <c r="I940" s="9"/>
      <c r="J940" s="9"/>
      <c r="K940" s="7"/>
      <c r="L940" s="7"/>
      <c r="M940" s="8"/>
      <c r="O940" s="7"/>
      <c r="P940" s="7"/>
      <c r="Q940" s="7"/>
      <c r="R940" s="7"/>
      <c r="S940" s="7"/>
    </row>
    <row r="941" spans="2:19" ht="14.25" customHeight="1" x14ac:dyDescent="0.3">
      <c r="B941" s="12"/>
      <c r="F941" s="6"/>
      <c r="G941" s="6"/>
      <c r="H941" s="9"/>
      <c r="I941" s="9"/>
      <c r="J941" s="9"/>
      <c r="K941" s="7"/>
      <c r="L941" s="7"/>
      <c r="M941" s="8"/>
      <c r="O941" s="7"/>
      <c r="P941" s="7"/>
      <c r="Q941" s="7"/>
      <c r="R941" s="7"/>
      <c r="S941" s="7"/>
    </row>
    <row r="942" spans="2:19" ht="14.25" customHeight="1" x14ac:dyDescent="0.3">
      <c r="B942" s="12"/>
      <c r="F942" s="6"/>
      <c r="G942" s="6"/>
      <c r="H942" s="9"/>
      <c r="I942" s="9"/>
      <c r="J942" s="9"/>
      <c r="K942" s="7"/>
      <c r="L942" s="7"/>
      <c r="M942" s="8"/>
      <c r="O942" s="7"/>
      <c r="P942" s="7"/>
      <c r="Q942" s="7"/>
      <c r="R942" s="7"/>
      <c r="S942" s="7"/>
    </row>
    <row r="943" spans="2:19" ht="14.25" customHeight="1" x14ac:dyDescent="0.3">
      <c r="B943" s="12"/>
      <c r="F943" s="6"/>
      <c r="G943" s="6"/>
      <c r="H943" s="9"/>
      <c r="I943" s="9"/>
      <c r="J943" s="9"/>
      <c r="K943" s="7"/>
      <c r="L943" s="7"/>
      <c r="M943" s="8"/>
      <c r="O943" s="7"/>
      <c r="P943" s="7"/>
      <c r="Q943" s="7"/>
      <c r="R943" s="7"/>
      <c r="S943" s="7"/>
    </row>
    <row r="944" spans="2:19" ht="14.25" customHeight="1" x14ac:dyDescent="0.3">
      <c r="B944" s="12"/>
      <c r="F944" s="6"/>
      <c r="G944" s="6"/>
      <c r="H944" s="9"/>
      <c r="I944" s="9"/>
      <c r="J944" s="9"/>
      <c r="K944" s="7"/>
      <c r="L944" s="7"/>
      <c r="M944" s="8"/>
      <c r="O944" s="7"/>
      <c r="P944" s="7"/>
      <c r="Q944" s="7"/>
      <c r="R944" s="7"/>
      <c r="S944" s="7"/>
    </row>
    <row r="945" spans="2:19" ht="14.25" customHeight="1" x14ac:dyDescent="0.3">
      <c r="B945" s="12"/>
      <c r="F945" s="6"/>
      <c r="G945" s="6"/>
      <c r="H945" s="9"/>
      <c r="I945" s="9"/>
      <c r="J945" s="9"/>
      <c r="K945" s="7"/>
      <c r="L945" s="7"/>
      <c r="M945" s="8"/>
      <c r="O945" s="7"/>
      <c r="P945" s="7"/>
      <c r="Q945" s="7"/>
      <c r="R945" s="7"/>
      <c r="S945" s="7"/>
    </row>
    <row r="946" spans="2:19" ht="14.25" customHeight="1" x14ac:dyDescent="0.3">
      <c r="B946" s="12"/>
      <c r="F946" s="6"/>
      <c r="G946" s="6"/>
      <c r="H946" s="9"/>
      <c r="I946" s="9"/>
      <c r="J946" s="9"/>
      <c r="K946" s="7"/>
      <c r="L946" s="7"/>
      <c r="M946" s="8"/>
      <c r="O946" s="7"/>
      <c r="P946" s="7"/>
      <c r="Q946" s="7"/>
      <c r="R946" s="7"/>
      <c r="S946" s="7"/>
    </row>
    <row r="947" spans="2:19" ht="14.25" customHeight="1" x14ac:dyDescent="0.3">
      <c r="B947" s="12"/>
      <c r="F947" s="6"/>
      <c r="G947" s="6"/>
      <c r="H947" s="9"/>
      <c r="I947" s="9"/>
      <c r="J947" s="9"/>
      <c r="K947" s="7"/>
      <c r="L947" s="7"/>
      <c r="M947" s="8"/>
      <c r="O947" s="7"/>
      <c r="P947" s="7"/>
      <c r="Q947" s="7"/>
      <c r="R947" s="7"/>
      <c r="S947" s="7"/>
    </row>
    <row r="948" spans="2:19" ht="14.25" customHeight="1" x14ac:dyDescent="0.3">
      <c r="B948" s="12"/>
      <c r="F948" s="6"/>
      <c r="G948" s="6"/>
      <c r="H948" s="9"/>
      <c r="I948" s="9"/>
      <c r="J948" s="9"/>
      <c r="K948" s="7"/>
      <c r="L948" s="7"/>
      <c r="M948" s="8"/>
      <c r="O948" s="7"/>
      <c r="P948" s="7"/>
      <c r="Q948" s="7"/>
      <c r="R948" s="7"/>
      <c r="S948" s="7"/>
    </row>
    <row r="949" spans="2:19" ht="14.25" customHeight="1" x14ac:dyDescent="0.3">
      <c r="B949" s="12"/>
      <c r="F949" s="6"/>
      <c r="G949" s="6"/>
      <c r="H949" s="9"/>
      <c r="I949" s="9"/>
      <c r="J949" s="9"/>
      <c r="K949" s="7"/>
      <c r="L949" s="7"/>
      <c r="M949" s="8"/>
      <c r="O949" s="7"/>
      <c r="P949" s="7"/>
      <c r="Q949" s="7"/>
      <c r="R949" s="7"/>
      <c r="S949" s="7"/>
    </row>
    <row r="950" spans="2:19" ht="14.25" customHeight="1" x14ac:dyDescent="0.3">
      <c r="B950" s="12"/>
      <c r="F950" s="6"/>
      <c r="G950" s="6"/>
      <c r="H950" s="9"/>
      <c r="I950" s="9"/>
      <c r="J950" s="9"/>
      <c r="K950" s="7"/>
      <c r="L950" s="7"/>
      <c r="M950" s="8"/>
      <c r="O950" s="7"/>
      <c r="P950" s="7"/>
      <c r="Q950" s="7"/>
      <c r="R950" s="7"/>
      <c r="S950" s="7"/>
    </row>
    <row r="951" spans="2:19" ht="14.25" customHeight="1" x14ac:dyDescent="0.3">
      <c r="B951" s="12"/>
      <c r="F951" s="6"/>
      <c r="G951" s="6"/>
      <c r="H951" s="9"/>
      <c r="I951" s="9"/>
      <c r="J951" s="9"/>
      <c r="K951" s="7"/>
      <c r="L951" s="7"/>
      <c r="M951" s="8"/>
      <c r="O951" s="7"/>
      <c r="P951" s="7"/>
      <c r="Q951" s="7"/>
      <c r="R951" s="7"/>
      <c r="S951" s="7"/>
    </row>
    <row r="952" spans="2:19" ht="14.25" customHeight="1" x14ac:dyDescent="0.3">
      <c r="B952" s="12"/>
      <c r="F952" s="6"/>
      <c r="G952" s="6"/>
      <c r="H952" s="9"/>
      <c r="I952" s="9"/>
      <c r="J952" s="9"/>
      <c r="K952" s="7"/>
      <c r="L952" s="7"/>
      <c r="M952" s="8"/>
      <c r="O952" s="7"/>
      <c r="P952" s="7"/>
      <c r="Q952" s="7"/>
      <c r="R952" s="7"/>
      <c r="S952" s="7"/>
    </row>
    <row r="953" spans="2:19" ht="14.25" customHeight="1" x14ac:dyDescent="0.3">
      <c r="B953" s="12"/>
      <c r="F953" s="6"/>
      <c r="G953" s="6"/>
      <c r="H953" s="9"/>
      <c r="I953" s="9"/>
      <c r="J953" s="9"/>
      <c r="K953" s="7"/>
      <c r="L953" s="7"/>
      <c r="M953" s="8"/>
      <c r="O953" s="7"/>
      <c r="P953" s="7"/>
      <c r="Q953" s="7"/>
      <c r="R953" s="7"/>
      <c r="S953" s="7"/>
    </row>
    <row r="954" spans="2:19" ht="14.25" customHeight="1" x14ac:dyDescent="0.3">
      <c r="B954" s="12"/>
      <c r="F954" s="6"/>
      <c r="G954" s="6"/>
      <c r="H954" s="9"/>
      <c r="I954" s="9"/>
      <c r="J954" s="9"/>
      <c r="K954" s="7"/>
      <c r="L954" s="7"/>
      <c r="M954" s="8"/>
      <c r="O954" s="7"/>
      <c r="P954" s="7"/>
      <c r="Q954" s="7"/>
      <c r="R954" s="7"/>
      <c r="S954" s="7"/>
    </row>
    <row r="955" spans="2:19" ht="14.25" customHeight="1" x14ac:dyDescent="0.3">
      <c r="B955" s="12"/>
      <c r="F955" s="6"/>
      <c r="G955" s="6"/>
      <c r="H955" s="9"/>
      <c r="I955" s="9"/>
      <c r="J955" s="9"/>
      <c r="K955" s="7"/>
      <c r="L955" s="7"/>
      <c r="M955" s="8"/>
      <c r="O955" s="7"/>
      <c r="P955" s="7"/>
      <c r="Q955" s="7"/>
      <c r="R955" s="7"/>
      <c r="S955" s="7"/>
    </row>
    <row r="956" spans="2:19" ht="14.25" customHeight="1" x14ac:dyDescent="0.3">
      <c r="B956" s="12"/>
      <c r="F956" s="6"/>
      <c r="G956" s="6"/>
      <c r="H956" s="9"/>
      <c r="I956" s="9"/>
      <c r="J956" s="9"/>
      <c r="K956" s="7"/>
      <c r="L956" s="7"/>
      <c r="M956" s="8"/>
      <c r="O956" s="7"/>
      <c r="P956" s="7"/>
      <c r="Q956" s="7"/>
      <c r="R956" s="7"/>
      <c r="S956" s="7"/>
    </row>
    <row r="957" spans="2:19" ht="14.25" customHeight="1" x14ac:dyDescent="0.3">
      <c r="B957" s="12"/>
      <c r="F957" s="6"/>
      <c r="G957" s="6"/>
      <c r="H957" s="9"/>
      <c r="I957" s="9"/>
      <c r="J957" s="9"/>
      <c r="K957" s="7"/>
      <c r="L957" s="7"/>
      <c r="M957" s="8"/>
      <c r="O957" s="7"/>
      <c r="P957" s="7"/>
      <c r="Q957" s="7"/>
      <c r="R957" s="7"/>
      <c r="S957" s="7"/>
    </row>
    <row r="958" spans="2:19" ht="14.25" customHeight="1" x14ac:dyDescent="0.3">
      <c r="B958" s="12"/>
      <c r="F958" s="6"/>
      <c r="G958" s="6"/>
      <c r="H958" s="9"/>
      <c r="I958" s="9"/>
      <c r="J958" s="9"/>
      <c r="K958" s="7"/>
      <c r="L958" s="7"/>
      <c r="M958" s="8"/>
      <c r="O958" s="7"/>
      <c r="P958" s="7"/>
      <c r="Q958" s="7"/>
      <c r="R958" s="7"/>
      <c r="S958" s="7"/>
    </row>
    <row r="959" spans="2:19" ht="14.25" customHeight="1" x14ac:dyDescent="0.3">
      <c r="B959" s="12"/>
      <c r="F959" s="6"/>
      <c r="G959" s="6"/>
      <c r="H959" s="9"/>
      <c r="I959" s="9"/>
      <c r="J959" s="9"/>
      <c r="K959" s="7"/>
      <c r="L959" s="7"/>
      <c r="M959" s="8"/>
      <c r="O959" s="7"/>
      <c r="P959" s="7"/>
      <c r="Q959" s="7"/>
      <c r="R959" s="7"/>
      <c r="S959" s="7"/>
    </row>
    <row r="960" spans="2:19" ht="14.25" customHeight="1" x14ac:dyDescent="0.3">
      <c r="B960" s="12"/>
      <c r="F960" s="6"/>
      <c r="G960" s="6"/>
      <c r="H960" s="9"/>
      <c r="I960" s="9"/>
      <c r="J960" s="9"/>
      <c r="K960" s="7"/>
      <c r="L960" s="7"/>
      <c r="M960" s="8"/>
      <c r="O960" s="7"/>
      <c r="P960" s="7"/>
      <c r="Q960" s="7"/>
      <c r="R960" s="7"/>
      <c r="S960" s="7"/>
    </row>
    <row r="961" spans="2:19" ht="14.25" customHeight="1" x14ac:dyDescent="0.3">
      <c r="B961" s="12"/>
      <c r="F961" s="6"/>
      <c r="G961" s="6"/>
      <c r="H961" s="9"/>
      <c r="I961" s="9"/>
      <c r="J961" s="9"/>
      <c r="K961" s="7"/>
      <c r="L961" s="7"/>
      <c r="M961" s="8"/>
      <c r="O961" s="7"/>
      <c r="P961" s="7"/>
      <c r="Q961" s="7"/>
      <c r="R961" s="7"/>
      <c r="S961" s="7"/>
    </row>
    <row r="962" spans="2:19" ht="14.25" customHeight="1" x14ac:dyDescent="0.3">
      <c r="B962" s="12"/>
      <c r="F962" s="6"/>
      <c r="G962" s="6"/>
      <c r="H962" s="9"/>
      <c r="I962" s="9"/>
      <c r="J962" s="9"/>
      <c r="K962" s="7"/>
      <c r="L962" s="7"/>
      <c r="M962" s="8"/>
      <c r="O962" s="7"/>
      <c r="P962" s="7"/>
      <c r="Q962" s="7"/>
      <c r="R962" s="7"/>
      <c r="S962" s="7"/>
    </row>
    <row r="963" spans="2:19" ht="14.25" customHeight="1" x14ac:dyDescent="0.3">
      <c r="B963" s="12"/>
      <c r="F963" s="6"/>
      <c r="G963" s="6"/>
      <c r="H963" s="9"/>
      <c r="I963" s="9"/>
      <c r="J963" s="9"/>
      <c r="K963" s="7"/>
      <c r="L963" s="7"/>
      <c r="M963" s="8"/>
      <c r="O963" s="7"/>
      <c r="P963" s="7"/>
      <c r="Q963" s="7"/>
      <c r="R963" s="7"/>
      <c r="S963" s="7"/>
    </row>
    <row r="964" spans="2:19" ht="14.25" customHeight="1" x14ac:dyDescent="0.3">
      <c r="B964" s="12"/>
      <c r="F964" s="6"/>
      <c r="G964" s="6"/>
      <c r="H964" s="9"/>
      <c r="I964" s="9"/>
      <c r="J964" s="9"/>
      <c r="K964" s="7"/>
      <c r="L964" s="7"/>
      <c r="M964" s="8"/>
      <c r="O964" s="7"/>
      <c r="P964" s="7"/>
      <c r="Q964" s="7"/>
      <c r="R964" s="7"/>
      <c r="S964" s="7"/>
    </row>
    <row r="965" spans="2:19" ht="14.25" customHeight="1" x14ac:dyDescent="0.3">
      <c r="B965" s="12"/>
      <c r="F965" s="6"/>
      <c r="G965" s="6"/>
      <c r="H965" s="9"/>
      <c r="I965" s="9"/>
      <c r="J965" s="9"/>
      <c r="K965" s="7"/>
      <c r="L965" s="7"/>
      <c r="M965" s="8"/>
      <c r="O965" s="7"/>
      <c r="P965" s="7"/>
      <c r="Q965" s="7"/>
      <c r="R965" s="7"/>
      <c r="S965" s="7"/>
    </row>
    <row r="966" spans="2:19" ht="14.25" customHeight="1" x14ac:dyDescent="0.3">
      <c r="B966" s="12"/>
      <c r="F966" s="6"/>
      <c r="G966" s="6"/>
      <c r="H966" s="9"/>
      <c r="I966" s="9"/>
      <c r="J966" s="9"/>
      <c r="K966" s="7"/>
      <c r="L966" s="7"/>
      <c r="M966" s="8"/>
      <c r="O966" s="7"/>
      <c r="P966" s="7"/>
      <c r="Q966" s="7"/>
      <c r="R966" s="7"/>
      <c r="S966" s="7"/>
    </row>
    <row r="967" spans="2:19" ht="14.25" customHeight="1" x14ac:dyDescent="0.3">
      <c r="B967" s="12"/>
      <c r="F967" s="6"/>
      <c r="G967" s="6"/>
      <c r="H967" s="9"/>
      <c r="I967" s="9"/>
      <c r="J967" s="9"/>
      <c r="K967" s="7"/>
      <c r="L967" s="7"/>
      <c r="M967" s="8"/>
      <c r="O967" s="7"/>
      <c r="P967" s="7"/>
      <c r="Q967" s="7"/>
      <c r="R967" s="7"/>
      <c r="S967" s="7"/>
    </row>
    <row r="968" spans="2:19" ht="14.25" customHeight="1" x14ac:dyDescent="0.3">
      <c r="B968" s="12"/>
      <c r="F968" s="6"/>
      <c r="G968" s="6"/>
      <c r="H968" s="9"/>
      <c r="I968" s="9"/>
      <c r="J968" s="9"/>
      <c r="K968" s="7"/>
      <c r="L968" s="7"/>
      <c r="M968" s="8"/>
      <c r="O968" s="7"/>
      <c r="P968" s="7"/>
      <c r="Q968" s="7"/>
      <c r="R968" s="7"/>
      <c r="S968" s="7"/>
    </row>
    <row r="969" spans="2:19" ht="14.25" customHeight="1" x14ac:dyDescent="0.3">
      <c r="B969" s="12"/>
      <c r="F969" s="6"/>
      <c r="G969" s="6"/>
      <c r="H969" s="9"/>
      <c r="I969" s="9"/>
      <c r="J969" s="9"/>
      <c r="K969" s="7"/>
      <c r="L969" s="7"/>
      <c r="M969" s="8"/>
      <c r="O969" s="7"/>
      <c r="P969" s="7"/>
      <c r="Q969" s="7"/>
      <c r="R969" s="7"/>
      <c r="S969" s="7"/>
    </row>
    <row r="970" spans="2:19" ht="14.25" customHeight="1" x14ac:dyDescent="0.3">
      <c r="B970" s="12"/>
      <c r="F970" s="6"/>
      <c r="G970" s="6"/>
      <c r="H970" s="9"/>
      <c r="I970" s="9"/>
      <c r="J970" s="9"/>
      <c r="K970" s="7"/>
      <c r="L970" s="7"/>
      <c r="M970" s="8"/>
      <c r="O970" s="7"/>
      <c r="P970" s="7"/>
      <c r="Q970" s="7"/>
      <c r="R970" s="7"/>
      <c r="S970" s="7"/>
    </row>
    <row r="971" spans="2:19" ht="14.25" customHeight="1" x14ac:dyDescent="0.3">
      <c r="B971" s="12"/>
      <c r="F971" s="6"/>
      <c r="G971" s="6"/>
      <c r="H971" s="9"/>
      <c r="I971" s="9"/>
      <c r="J971" s="9"/>
      <c r="K971" s="7"/>
      <c r="L971" s="7"/>
      <c r="M971" s="8"/>
      <c r="O971" s="7"/>
      <c r="P971" s="7"/>
      <c r="Q971" s="7"/>
      <c r="R971" s="7"/>
      <c r="S971" s="7"/>
    </row>
    <row r="972" spans="2:19" ht="14.25" customHeight="1" x14ac:dyDescent="0.3">
      <c r="B972" s="12"/>
      <c r="F972" s="6"/>
      <c r="G972" s="6"/>
      <c r="H972" s="9"/>
      <c r="I972" s="9"/>
      <c r="J972" s="9"/>
      <c r="K972" s="7"/>
      <c r="L972" s="7"/>
      <c r="M972" s="8"/>
      <c r="O972" s="7"/>
      <c r="P972" s="7"/>
      <c r="Q972" s="7"/>
      <c r="R972" s="7"/>
      <c r="S972" s="7"/>
    </row>
    <row r="973" spans="2:19" ht="14.25" customHeight="1" x14ac:dyDescent="0.3">
      <c r="B973" s="12"/>
      <c r="F973" s="6"/>
      <c r="G973" s="6"/>
      <c r="H973" s="9"/>
      <c r="I973" s="9"/>
      <c r="J973" s="9"/>
      <c r="K973" s="7"/>
      <c r="L973" s="7"/>
      <c r="M973" s="8"/>
      <c r="O973" s="7"/>
      <c r="P973" s="7"/>
      <c r="Q973" s="7"/>
      <c r="R973" s="7"/>
      <c r="S973" s="7"/>
    </row>
    <row r="974" spans="2:19" ht="14.25" customHeight="1" x14ac:dyDescent="0.3">
      <c r="B974" s="12"/>
      <c r="F974" s="6"/>
      <c r="G974" s="6"/>
      <c r="H974" s="9"/>
      <c r="I974" s="9"/>
      <c r="J974" s="9"/>
      <c r="K974" s="7"/>
      <c r="L974" s="7"/>
      <c r="M974" s="8"/>
      <c r="O974" s="7"/>
      <c r="P974" s="7"/>
      <c r="Q974" s="7"/>
      <c r="R974" s="7"/>
      <c r="S974" s="7"/>
    </row>
    <row r="975" spans="2:19" ht="14.25" customHeight="1" x14ac:dyDescent="0.3">
      <c r="B975" s="12"/>
      <c r="F975" s="6"/>
      <c r="G975" s="6"/>
      <c r="H975" s="9"/>
      <c r="I975" s="9"/>
      <c r="J975" s="9"/>
      <c r="K975" s="7"/>
      <c r="L975" s="7"/>
      <c r="M975" s="8"/>
      <c r="O975" s="7"/>
      <c r="P975" s="7"/>
      <c r="Q975" s="7"/>
      <c r="R975" s="7"/>
      <c r="S975" s="7"/>
    </row>
    <row r="976" spans="2:19" ht="14.25" customHeight="1" x14ac:dyDescent="0.3">
      <c r="B976" s="12"/>
      <c r="F976" s="6"/>
      <c r="G976" s="6"/>
      <c r="H976" s="9"/>
      <c r="I976" s="9"/>
      <c r="J976" s="9"/>
      <c r="K976" s="7"/>
      <c r="L976" s="7"/>
      <c r="M976" s="8"/>
      <c r="O976" s="7"/>
      <c r="P976" s="7"/>
      <c r="Q976" s="7"/>
      <c r="R976" s="7"/>
      <c r="S976" s="7"/>
    </row>
    <row r="977" spans="2:19" ht="14.25" customHeight="1" x14ac:dyDescent="0.3">
      <c r="B977" s="12"/>
      <c r="F977" s="6"/>
      <c r="G977" s="6"/>
      <c r="H977" s="9"/>
      <c r="I977" s="9"/>
      <c r="J977" s="9"/>
      <c r="K977" s="7"/>
      <c r="L977" s="7"/>
      <c r="M977" s="8"/>
      <c r="O977" s="7"/>
      <c r="P977" s="7"/>
      <c r="Q977" s="7"/>
      <c r="R977" s="7"/>
      <c r="S977" s="7"/>
    </row>
    <row r="978" spans="2:19" ht="14.25" customHeight="1" x14ac:dyDescent="0.3">
      <c r="B978" s="12"/>
      <c r="F978" s="6"/>
      <c r="G978" s="6"/>
      <c r="H978" s="9"/>
      <c r="I978" s="9"/>
      <c r="J978" s="9"/>
      <c r="K978" s="7"/>
      <c r="L978" s="7"/>
      <c r="M978" s="8"/>
      <c r="O978" s="7"/>
      <c r="P978" s="7"/>
      <c r="Q978" s="7"/>
      <c r="R978" s="7"/>
      <c r="S978" s="7"/>
    </row>
    <row r="979" spans="2:19" ht="14.25" customHeight="1" x14ac:dyDescent="0.3">
      <c r="B979" s="12"/>
      <c r="F979" s="6"/>
      <c r="G979" s="6"/>
      <c r="H979" s="9"/>
      <c r="I979" s="9"/>
      <c r="J979" s="9"/>
      <c r="K979" s="7"/>
      <c r="L979" s="7"/>
      <c r="M979" s="8"/>
      <c r="O979" s="7"/>
      <c r="P979" s="7"/>
      <c r="Q979" s="7"/>
      <c r="R979" s="7"/>
      <c r="S979" s="7"/>
    </row>
    <row r="980" spans="2:19" ht="14.25" customHeight="1" x14ac:dyDescent="0.3">
      <c r="B980" s="12"/>
      <c r="F980" s="6"/>
      <c r="G980" s="6"/>
      <c r="H980" s="9"/>
      <c r="I980" s="9"/>
      <c r="J980" s="9"/>
      <c r="K980" s="7"/>
      <c r="L980" s="7"/>
      <c r="M980" s="8"/>
      <c r="O980" s="7"/>
      <c r="P980" s="7"/>
      <c r="Q980" s="7"/>
      <c r="R980" s="7"/>
      <c r="S980" s="7"/>
    </row>
    <row r="981" spans="2:19" ht="14.25" customHeight="1" x14ac:dyDescent="0.3">
      <c r="B981" s="12"/>
      <c r="F981" s="6"/>
      <c r="G981" s="6"/>
      <c r="H981" s="9"/>
      <c r="I981" s="9"/>
      <c r="J981" s="9"/>
      <c r="K981" s="7"/>
      <c r="L981" s="7"/>
      <c r="M981" s="8"/>
      <c r="O981" s="7"/>
      <c r="P981" s="7"/>
      <c r="Q981" s="7"/>
      <c r="R981" s="7"/>
      <c r="S981" s="7"/>
    </row>
    <row r="982" spans="2:19" ht="14.25" customHeight="1" x14ac:dyDescent="0.3">
      <c r="B982" s="12"/>
      <c r="F982" s="6"/>
      <c r="G982" s="6"/>
      <c r="H982" s="9"/>
      <c r="I982" s="9"/>
      <c r="J982" s="9"/>
      <c r="K982" s="7"/>
      <c r="L982" s="7"/>
      <c r="M982" s="8"/>
      <c r="O982" s="7"/>
      <c r="P982" s="7"/>
      <c r="Q982" s="7"/>
      <c r="R982" s="7"/>
      <c r="S982" s="7"/>
    </row>
    <row r="983" spans="2:19" ht="14.25" customHeight="1" x14ac:dyDescent="0.3">
      <c r="B983" s="12"/>
      <c r="F983" s="6"/>
      <c r="G983" s="6"/>
      <c r="H983" s="9"/>
      <c r="I983" s="9"/>
      <c r="J983" s="9"/>
      <c r="K983" s="7"/>
      <c r="L983" s="7"/>
      <c r="M983" s="8"/>
      <c r="O983" s="7"/>
      <c r="P983" s="7"/>
      <c r="Q983" s="7"/>
      <c r="R983" s="7"/>
      <c r="S983" s="7"/>
    </row>
    <row r="984" spans="2:19" ht="14.25" customHeight="1" x14ac:dyDescent="0.3">
      <c r="B984" s="12"/>
      <c r="F984" s="6"/>
      <c r="G984" s="6"/>
      <c r="H984" s="9"/>
      <c r="I984" s="9"/>
      <c r="J984" s="9"/>
      <c r="K984" s="7"/>
      <c r="L984" s="7"/>
      <c r="M984" s="8"/>
      <c r="O984" s="7"/>
      <c r="P984" s="7"/>
      <c r="Q984" s="7"/>
      <c r="R984" s="7"/>
      <c r="S984" s="7"/>
    </row>
    <row r="985" spans="2:19" ht="14.25" customHeight="1" x14ac:dyDescent="0.3">
      <c r="B985" s="12"/>
      <c r="F985" s="6"/>
      <c r="G985" s="6"/>
      <c r="H985" s="9"/>
      <c r="I985" s="9"/>
      <c r="J985" s="9"/>
      <c r="K985" s="7"/>
      <c r="L985" s="7"/>
      <c r="M985" s="8"/>
      <c r="O985" s="7"/>
      <c r="P985" s="7"/>
      <c r="Q985" s="7"/>
      <c r="R985" s="7"/>
      <c r="S985" s="7"/>
    </row>
    <row r="986" spans="2:19" ht="14.25" customHeight="1" x14ac:dyDescent="0.3">
      <c r="B986" s="12"/>
      <c r="F986" s="6"/>
      <c r="G986" s="6"/>
      <c r="H986" s="9"/>
      <c r="I986" s="9"/>
      <c r="J986" s="9"/>
      <c r="K986" s="7"/>
      <c r="L986" s="7"/>
      <c r="M986" s="8"/>
      <c r="O986" s="7"/>
      <c r="P986" s="7"/>
      <c r="Q986" s="7"/>
      <c r="R986" s="7"/>
      <c r="S986" s="7"/>
    </row>
    <row r="987" spans="2:19" ht="14.25" customHeight="1" x14ac:dyDescent="0.3">
      <c r="B987" s="12"/>
      <c r="F987" s="6"/>
      <c r="G987" s="6"/>
      <c r="H987" s="9"/>
      <c r="I987" s="9"/>
      <c r="J987" s="9"/>
      <c r="K987" s="7"/>
      <c r="L987" s="7"/>
      <c r="M987" s="8"/>
      <c r="O987" s="7"/>
      <c r="P987" s="7"/>
      <c r="Q987" s="7"/>
      <c r="R987" s="7"/>
      <c r="S987" s="7"/>
    </row>
    <row r="988" spans="2:19" ht="14.25" customHeight="1" x14ac:dyDescent="0.3">
      <c r="B988" s="12"/>
      <c r="F988" s="6"/>
      <c r="G988" s="6"/>
      <c r="H988" s="9"/>
      <c r="I988" s="9"/>
      <c r="J988" s="9"/>
      <c r="K988" s="7"/>
      <c r="L988" s="7"/>
      <c r="M988" s="8"/>
      <c r="O988" s="7"/>
      <c r="P988" s="7"/>
      <c r="Q988" s="7"/>
      <c r="R988" s="7"/>
      <c r="S988" s="7"/>
    </row>
    <row r="989" spans="2:19" ht="14.25" customHeight="1" x14ac:dyDescent="0.3">
      <c r="B989" s="12"/>
      <c r="F989" s="6"/>
      <c r="G989" s="6"/>
      <c r="H989" s="9"/>
      <c r="I989" s="9"/>
      <c r="J989" s="9"/>
      <c r="K989" s="7"/>
      <c r="L989" s="7"/>
      <c r="M989" s="8"/>
      <c r="O989" s="7"/>
      <c r="P989" s="7"/>
      <c r="Q989" s="7"/>
      <c r="R989" s="7"/>
      <c r="S989" s="7"/>
    </row>
    <row r="990" spans="2:19" ht="14.25" customHeight="1" x14ac:dyDescent="0.3">
      <c r="B990" s="12"/>
      <c r="F990" s="6"/>
      <c r="G990" s="6"/>
      <c r="H990" s="9"/>
      <c r="I990" s="9"/>
      <c r="J990" s="9"/>
      <c r="K990" s="7"/>
      <c r="L990" s="7"/>
      <c r="M990" s="8"/>
      <c r="O990" s="7"/>
      <c r="P990" s="7"/>
      <c r="Q990" s="7"/>
      <c r="R990" s="7"/>
      <c r="S990" s="7"/>
    </row>
    <row r="991" spans="2:19" ht="14.25" customHeight="1" x14ac:dyDescent="0.3">
      <c r="B991" s="12"/>
      <c r="F991" s="6"/>
      <c r="G991" s="6"/>
      <c r="H991" s="9"/>
      <c r="I991" s="9"/>
      <c r="J991" s="9"/>
      <c r="K991" s="7"/>
      <c r="L991" s="7"/>
      <c r="M991" s="8"/>
      <c r="O991" s="7"/>
      <c r="P991" s="7"/>
      <c r="Q991" s="7"/>
      <c r="R991" s="7"/>
      <c r="S991" s="7"/>
    </row>
    <row r="992" spans="2:19" ht="14.25" customHeight="1" x14ac:dyDescent="0.3">
      <c r="B992" s="12"/>
      <c r="F992" s="6"/>
      <c r="G992" s="6"/>
      <c r="H992" s="9"/>
      <c r="I992" s="9"/>
      <c r="J992" s="9"/>
      <c r="K992" s="7"/>
      <c r="L992" s="7"/>
      <c r="M992" s="8"/>
      <c r="O992" s="7"/>
      <c r="P992" s="7"/>
      <c r="Q992" s="7"/>
      <c r="R992" s="7"/>
      <c r="S992" s="7"/>
    </row>
    <row r="993" spans="2:19" ht="14.25" customHeight="1" x14ac:dyDescent="0.3">
      <c r="B993" s="12"/>
      <c r="F993" s="6"/>
      <c r="G993" s="6"/>
      <c r="H993" s="9"/>
      <c r="I993" s="9"/>
      <c r="J993" s="9"/>
      <c r="K993" s="7"/>
      <c r="L993" s="7"/>
      <c r="M993" s="8"/>
      <c r="O993" s="7"/>
      <c r="P993" s="7"/>
      <c r="Q993" s="7"/>
      <c r="R993" s="7"/>
      <c r="S993" s="7"/>
    </row>
    <row r="994" spans="2:19" ht="14.25" customHeight="1" x14ac:dyDescent="0.3">
      <c r="B994" s="12"/>
      <c r="F994" s="6"/>
      <c r="G994" s="6"/>
      <c r="H994" s="9"/>
      <c r="I994" s="9"/>
      <c r="J994" s="9"/>
      <c r="K994" s="7"/>
      <c r="L994" s="7"/>
      <c r="M994" s="8"/>
      <c r="O994" s="7"/>
      <c r="P994" s="7"/>
      <c r="Q994" s="7"/>
      <c r="R994" s="7"/>
      <c r="S994" s="7"/>
    </row>
    <row r="995" spans="2:19" ht="14.25" customHeight="1" x14ac:dyDescent="0.3">
      <c r="B995" s="12"/>
      <c r="F995" s="6"/>
      <c r="G995" s="6"/>
      <c r="H995" s="9"/>
      <c r="I995" s="9"/>
      <c r="J995" s="9"/>
      <c r="K995" s="7"/>
      <c r="L995" s="7"/>
      <c r="M995" s="8"/>
      <c r="O995" s="7"/>
      <c r="P995" s="7"/>
      <c r="Q995" s="7"/>
      <c r="R995" s="7"/>
      <c r="S995" s="7"/>
    </row>
    <row r="996" spans="2:19" ht="14.25" customHeight="1" x14ac:dyDescent="0.3">
      <c r="B996" s="12"/>
      <c r="F996" s="6"/>
      <c r="G996" s="6"/>
      <c r="H996" s="9"/>
      <c r="I996" s="9"/>
      <c r="J996" s="9"/>
      <c r="K996" s="7"/>
      <c r="L996" s="7"/>
      <c r="M996" s="8"/>
      <c r="O996" s="7"/>
      <c r="P996" s="7"/>
      <c r="Q996" s="7"/>
      <c r="R996" s="7"/>
      <c r="S996" s="7"/>
    </row>
    <row r="997" spans="2:19" ht="14.25" customHeight="1" x14ac:dyDescent="0.3">
      <c r="B997" s="12"/>
      <c r="F997" s="6"/>
      <c r="G997" s="6"/>
      <c r="H997" s="9"/>
      <c r="I997" s="9"/>
      <c r="J997" s="9"/>
      <c r="K997" s="7"/>
      <c r="L997" s="7"/>
      <c r="M997" s="8"/>
      <c r="O997" s="7"/>
      <c r="P997" s="7"/>
      <c r="Q997" s="7"/>
      <c r="R997" s="7"/>
      <c r="S997" s="7"/>
    </row>
    <row r="998" spans="2:19" ht="14.25" customHeight="1" x14ac:dyDescent="0.3">
      <c r="B998" s="12"/>
      <c r="F998" s="6"/>
      <c r="G998" s="6"/>
      <c r="H998" s="9"/>
      <c r="I998" s="9"/>
      <c r="J998" s="9"/>
      <c r="K998" s="7"/>
      <c r="L998" s="7"/>
      <c r="M998" s="8"/>
      <c r="O998" s="7"/>
      <c r="P998" s="7"/>
      <c r="Q998" s="7"/>
      <c r="R998" s="7"/>
      <c r="S998" s="7"/>
    </row>
    <row r="999" spans="2:19" ht="14.25" customHeight="1" x14ac:dyDescent="0.3">
      <c r="B999" s="12"/>
      <c r="F999" s="6"/>
      <c r="G999" s="6"/>
      <c r="H999" s="9"/>
      <c r="I999" s="9"/>
      <c r="J999" s="9"/>
      <c r="K999" s="7"/>
      <c r="L999" s="7"/>
      <c r="M999" s="8"/>
      <c r="O999" s="7"/>
      <c r="P999" s="7"/>
      <c r="Q999" s="7"/>
      <c r="R999" s="7"/>
      <c r="S999" s="7"/>
    </row>
    <row r="1000" spans="2:19" ht="14.25" customHeight="1" x14ac:dyDescent="0.3">
      <c r="B1000" s="12"/>
      <c r="F1000" s="6"/>
      <c r="G1000" s="6"/>
      <c r="H1000" s="9"/>
      <c r="I1000" s="9"/>
      <c r="J1000" s="9"/>
      <c r="K1000" s="7"/>
      <c r="L1000" s="7"/>
      <c r="M1000" s="8"/>
      <c r="O1000" s="7"/>
      <c r="P1000" s="7"/>
      <c r="Q1000" s="7"/>
      <c r="R1000" s="7"/>
      <c r="S1000" s="7"/>
    </row>
  </sheetData>
  <sortState xmlns:xlrd2="http://schemas.microsoft.com/office/spreadsheetml/2017/richdata2" ref="B2:S501">
    <sortCondition ref="B2:B50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VENTAS_NORMALIZADA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SIVIRA</dc:creator>
  <cp:lastModifiedBy>Miriam Del Carmen Sivira Hernandez</cp:lastModifiedBy>
  <dcterms:created xsi:type="dcterms:W3CDTF">2025-07-01T17:56:32Z</dcterms:created>
  <dcterms:modified xsi:type="dcterms:W3CDTF">2025-07-07T19:47:41Z</dcterms:modified>
</cp:coreProperties>
</file>